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0490" windowHeight="7755" activeTab="2"/>
  </bookViews>
  <sheets>
    <sheet name="ideal_gas_table2" sheetId="142" r:id="rId1"/>
    <sheet name="Air" sheetId="130" r:id="rId2"/>
    <sheet name="Sheet35" sheetId="86" r:id="rId3"/>
  </sheets>
  <functionGroups builtInGroupCount="18"/>
  <definedNames>
    <definedName name="solver_adj" localSheetId="2" hidden="1">Sheet35!$B$5:$B$6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Sheet35!$C$37:$C$66</definedName>
    <definedName name="solver_lhs2" localSheetId="2" hidden="1">Sheet35!$E$37:$E$66</definedName>
    <definedName name="solver_lhs3" localSheetId="2" hidden="1">Sheet35!$I$22:$I$25</definedName>
    <definedName name="solver_lhs4" localSheetId="2" hidden="1">Sheet35!$I$22:$I$25</definedName>
    <definedName name="solver_lhs5" localSheetId="2" hidden="1">Sheet35!$I$22:$I$25</definedName>
    <definedName name="solver_lhs6" localSheetId="2" hidden="1">Sheet35!$I$22:$I$25</definedName>
    <definedName name="solver_lhs7" localSheetId="2" hidden="1">Sheet35!$I$22:$I$25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Sheet35!$B$19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el3" localSheetId="2" hidden="1">1</definedName>
    <definedName name="solver_rel4" localSheetId="2" hidden="1">1</definedName>
    <definedName name="solver_rel5" localSheetId="2" hidden="1">1</definedName>
    <definedName name="solver_rel6" localSheetId="2" hidden="1">1</definedName>
    <definedName name="solver_rel7" localSheetId="2" hidden="1">1</definedName>
    <definedName name="solver_rhs1" localSheetId="2" hidden="1">Sheet35!$B$26</definedName>
    <definedName name="solver_rhs2" localSheetId="2" hidden="1">Sheet35!$B$27</definedName>
    <definedName name="solver_rhs3" localSheetId="2" hidden="1">8000</definedName>
    <definedName name="solver_rhs4" localSheetId="2" hidden="1">8000</definedName>
    <definedName name="solver_rhs5" localSheetId="2" hidden="1">8000</definedName>
    <definedName name="solver_rhs6" localSheetId="2" hidden="1">8000</definedName>
    <definedName name="solver_rhs7" localSheetId="2" hidden="1">8000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58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86" l="1"/>
  <c r="E65" i="86"/>
  <c r="D49" i="86" l="1"/>
  <c r="J22" i="86"/>
  <c r="B65" i="86" s="1"/>
  <c r="I22" i="86"/>
  <c r="B11" i="86"/>
  <c r="J25" i="86" s="1"/>
  <c r="B37" i="86" s="1"/>
  <c r="B66" i="86" s="1"/>
  <c r="B2" i="86" l="1"/>
  <c r="F4" i="86" s="1"/>
  <c r="I10" i="86" l="1"/>
  <c r="G10" i="86"/>
  <c r="G7" i="86"/>
  <c r="F9" i="86"/>
  <c r="H10" i="86"/>
  <c r="I9" i="86"/>
  <c r="H7" i="86"/>
  <c r="G8" i="86"/>
  <c r="I7" i="86"/>
  <c r="I8" i="86"/>
  <c r="H9" i="86"/>
  <c r="F10" i="86"/>
  <c r="F8" i="86"/>
  <c r="H8" i="86"/>
  <c r="G9" i="86"/>
  <c r="I12" i="86" l="1"/>
  <c r="H22" i="86" s="1"/>
  <c r="D65" i="86" s="1"/>
  <c r="H12" i="86"/>
  <c r="G22" i="86" s="1"/>
  <c r="F12" i="86"/>
  <c r="E22" i="86" s="1"/>
  <c r="C65" i="86" s="1"/>
  <c r="G12" i="86"/>
  <c r="F22" i="86" s="1"/>
  <c r="M4" i="86" l="1"/>
  <c r="B9" i="86" s="1"/>
  <c r="P8" i="86"/>
  <c r="O7" i="86"/>
  <c r="O10" i="86"/>
  <c r="M10" i="86"/>
  <c r="P7" i="86"/>
  <c r="N10" i="86"/>
  <c r="N8" i="86"/>
  <c r="M8" i="86"/>
  <c r="O8" i="86"/>
  <c r="M7" i="86"/>
  <c r="O9" i="86"/>
  <c r="N9" i="86"/>
  <c r="M9" i="86"/>
  <c r="N7" i="86"/>
  <c r="P9" i="86"/>
  <c r="P10" i="86"/>
  <c r="M12" i="86" l="1"/>
  <c r="S4" i="86" s="1"/>
  <c r="N12" i="86"/>
  <c r="F23" i="86" s="1"/>
  <c r="O12" i="86"/>
  <c r="G23" i="86" s="1"/>
  <c r="P12" i="86"/>
  <c r="B10" i="86"/>
  <c r="J24" i="86" s="1"/>
  <c r="B48" i="86" s="1"/>
  <c r="J23" i="86"/>
  <c r="D50" i="86" l="1"/>
  <c r="D51" i="86" s="1"/>
  <c r="D52" i="86" s="1"/>
  <c r="D53" i="86" s="1"/>
  <c r="D54" i="86" s="1"/>
  <c r="D55" i="86" s="1"/>
  <c r="D56" i="86" s="1"/>
  <c r="D57" i="86" s="1"/>
  <c r="D58" i="86" s="1"/>
  <c r="D59" i="86" s="1"/>
  <c r="D60" i="86" s="1"/>
  <c r="D61" i="86" s="1"/>
  <c r="D62" i="86" s="1"/>
  <c r="D63" i="86" s="1"/>
  <c r="D64" i="86" s="1"/>
  <c r="E23" i="86"/>
  <c r="C49" i="86" s="1"/>
  <c r="B12" i="86"/>
  <c r="B13" i="86" s="1"/>
  <c r="I24" i="86" s="1"/>
  <c r="E48" i="86" s="1"/>
  <c r="S9" i="86"/>
  <c r="V8" i="86"/>
  <c r="U8" i="86"/>
  <c r="T8" i="86"/>
  <c r="U10" i="86"/>
  <c r="T10" i="86"/>
  <c r="V7" i="86"/>
  <c r="U7" i="86"/>
  <c r="S7" i="86"/>
  <c r="V10" i="86"/>
  <c r="S10" i="86"/>
  <c r="V9" i="86"/>
  <c r="U9" i="86"/>
  <c r="T9" i="86"/>
  <c r="S8" i="86"/>
  <c r="T7" i="86"/>
  <c r="I23" i="86" l="1"/>
  <c r="E49" i="86" s="1"/>
  <c r="E50" i="86" s="1"/>
  <c r="V12" i="86"/>
  <c r="Y4" i="86" s="1"/>
  <c r="S12" i="86"/>
  <c r="E24" i="86" s="1"/>
  <c r="C48" i="86" s="1"/>
  <c r="T12" i="86"/>
  <c r="F24" i="86" s="1"/>
  <c r="B16" i="86" s="1"/>
  <c r="U12" i="86"/>
  <c r="G24" i="86" s="1"/>
  <c r="E51" i="86" l="1"/>
  <c r="E52" i="86" s="1"/>
  <c r="E53" i="86" s="1"/>
  <c r="E54" i="86" s="1"/>
  <c r="E55" i="86" s="1"/>
  <c r="E56" i="86" s="1"/>
  <c r="E57" i="86" s="1"/>
  <c r="E58" i="86" s="1"/>
  <c r="E59" i="86" s="1"/>
  <c r="E60" i="86" s="1"/>
  <c r="E61" i="86" s="1"/>
  <c r="E62" i="86" s="1"/>
  <c r="E63" i="86" s="1"/>
  <c r="E64" i="86" s="1"/>
  <c r="H24" i="86"/>
  <c r="D48" i="86" s="1"/>
  <c r="Y8" i="86" l="1"/>
  <c r="Y9" i="86"/>
  <c r="AB9" i="86"/>
  <c r="AB8" i="86"/>
  <c r="AB7" i="86"/>
  <c r="AB10" i="86"/>
  <c r="Z7" i="86"/>
  <c r="AA8" i="86"/>
  <c r="Y10" i="86"/>
  <c r="Z8" i="86"/>
  <c r="Z9" i="86"/>
  <c r="AA7" i="86"/>
  <c r="AA9" i="86"/>
  <c r="Z10" i="86"/>
  <c r="AA10" i="86"/>
  <c r="Y7" i="86"/>
  <c r="Z12" i="86" l="1"/>
  <c r="F25" i="86" s="1"/>
  <c r="Y12" i="86"/>
  <c r="B14" i="86" s="1"/>
  <c r="AA12" i="86"/>
  <c r="G25" i="86" s="1"/>
  <c r="B17" i="86" s="1"/>
  <c r="B19" i="86" s="1"/>
  <c r="AB12" i="86"/>
  <c r="H25" i="86" s="1"/>
  <c r="D37" i="86" s="1"/>
  <c r="D66" i="86" l="1"/>
  <c r="D38" i="86"/>
  <c r="D39" i="86" s="1"/>
  <c r="D40" i="86" s="1"/>
  <c r="D41" i="86" s="1"/>
  <c r="D42" i="86" s="1"/>
  <c r="D43" i="86" s="1"/>
  <c r="D44" i="86" s="1"/>
  <c r="D45" i="86" s="1"/>
  <c r="D46" i="86" s="1"/>
  <c r="D47" i="86" s="1"/>
  <c r="E25" i="86"/>
  <c r="C37" i="86" s="1"/>
  <c r="C66" i="86" s="1"/>
  <c r="I25" i="86"/>
  <c r="E37" i="86" s="1"/>
  <c r="E66" i="86" l="1"/>
  <c r="E38" i="86"/>
  <c r="E39" i="86" s="1"/>
  <c r="E40" i="86" s="1"/>
  <c r="E41" i="86" s="1"/>
  <c r="E42" i="86" s="1"/>
  <c r="E43" i="86" s="1"/>
  <c r="E44" i="86" s="1"/>
  <c r="E45" i="86" s="1"/>
  <c r="E46" i="86" s="1"/>
  <c r="E47" i="86" s="1"/>
</calcChain>
</file>

<file path=xl/sharedStrings.xml><?xml version="1.0" encoding="utf-8"?>
<sst xmlns="http://schemas.openxmlformats.org/spreadsheetml/2006/main" count="155" uniqueCount="58">
  <si>
    <t>Temp</t>
  </si>
  <si>
    <t>h</t>
  </si>
  <si>
    <t xml:space="preserve">Pr </t>
  </si>
  <si>
    <t xml:space="preserve">u </t>
  </si>
  <si>
    <t xml:space="preserve">vr </t>
  </si>
  <si>
    <r>
      <t>s</t>
    </r>
    <r>
      <rPr>
        <b/>
        <sz val="11"/>
        <color theme="1"/>
        <rFont val="Calibri"/>
        <family val="2"/>
        <scheme val="minor"/>
      </rPr>
      <t xml:space="preserve">° </t>
    </r>
  </si>
  <si>
    <t xml:space="preserve">K </t>
  </si>
  <si>
    <t xml:space="preserve">kJ/kg </t>
  </si>
  <si>
    <t>kJ/kg · K</t>
  </si>
  <si>
    <t>K</t>
  </si>
  <si>
    <t>kJ/kg</t>
  </si>
  <si>
    <t>Pr</t>
  </si>
  <si>
    <t>u</t>
  </si>
  <si>
    <t>vr</t>
  </si>
  <si>
    <t>s°</t>
  </si>
  <si>
    <t>kJ/kg.K</t>
  </si>
  <si>
    <t>degrees</t>
  </si>
  <si>
    <t>P1</t>
  </si>
  <si>
    <t>V1</t>
  </si>
  <si>
    <t>x1</t>
  </si>
  <si>
    <t>T1(K)</t>
  </si>
  <si>
    <t>n (target)</t>
  </si>
  <si>
    <t>y1</t>
  </si>
  <si>
    <t>x2</t>
  </si>
  <si>
    <t>y2</t>
  </si>
  <si>
    <t>Interpolating point 1</t>
  </si>
  <si>
    <t>x(T1)</t>
  </si>
  <si>
    <t>y</t>
  </si>
  <si>
    <t>T</t>
  </si>
  <si>
    <t>Interpolating point 2</t>
  </si>
  <si>
    <t>Interpolating point 3</t>
  </si>
  <si>
    <t>Interpolating point 4</t>
  </si>
  <si>
    <t>x(T3)</t>
  </si>
  <si>
    <t>x(vr2)</t>
  </si>
  <si>
    <t>x(vr4)</t>
  </si>
  <si>
    <t>v2</t>
  </si>
  <si>
    <t>v3</t>
  </si>
  <si>
    <t>v4</t>
  </si>
  <si>
    <t>P2</t>
  </si>
  <si>
    <t>P3</t>
  </si>
  <si>
    <t>P4</t>
  </si>
  <si>
    <t>points</t>
  </si>
  <si>
    <t>P</t>
  </si>
  <si>
    <t>V</t>
  </si>
  <si>
    <t>Target Efficiency</t>
  </si>
  <si>
    <t>%</t>
  </si>
  <si>
    <t>Calculated Efficiency</t>
  </si>
  <si>
    <t>q_in</t>
  </si>
  <si>
    <t>q_out</t>
  </si>
  <si>
    <t>r initial</t>
  </si>
  <si>
    <t>r_c initial</t>
  </si>
  <si>
    <t>Vr</t>
  </si>
  <si>
    <t>Tmax</t>
  </si>
  <si>
    <t>Assumptions:</t>
  </si>
  <si>
    <t xml:space="preserve">Pmax </t>
  </si>
  <si>
    <t>k</t>
  </si>
  <si>
    <t>Kpa</t>
  </si>
  <si>
    <t>Smooth Curve Pnts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</si>
</sst>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3" borderId="0" xfId="0" applyFill="1"/>
    <xf numFmtId="0" fontId="0" fillId="4" borderId="0" xfId="0" applyFill="1"/>
    <xf numFmtId="0" fontId="0" fillId="2" borderId="0" xfId="0" applyFill="1"/>
    <xf numFmtId="0" fontId="0" fillId="5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Diesel</a:t>
            </a:r>
            <a:r>
              <a:rPr lang="en-US" baseline="0"/>
              <a:t> Pressure-Volume Chart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4-Mar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319156579839132"/>
                      <c:h val="3.164366830383826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Sheet35!$B$73:$B$84</c:f>
              <c:numCache>
                <c:formatCode>General</c:formatCode>
                <c:ptCount val="12"/>
                <c:pt idx="0">
                  <c:v>100</c:v>
                </c:pt>
                <c:pt idx="1">
                  <c:v>95</c:v>
                </c:pt>
                <c:pt idx="2">
                  <c:v>90</c:v>
                </c:pt>
                <c:pt idx="3">
                  <c:v>85</c:v>
                </c:pt>
                <c:pt idx="4">
                  <c:v>80</c:v>
                </c:pt>
                <c:pt idx="5">
                  <c:v>75</c:v>
                </c:pt>
                <c:pt idx="6">
                  <c:v>70</c:v>
                </c:pt>
                <c:pt idx="7">
                  <c:v>65</c:v>
                </c:pt>
                <c:pt idx="8">
                  <c:v>60</c:v>
                </c:pt>
                <c:pt idx="9">
                  <c:v>55</c:v>
                </c:pt>
                <c:pt idx="10">
                  <c:v>50</c:v>
                </c:pt>
                <c:pt idx="11">
                  <c:v>40</c:v>
                </c:pt>
              </c:numCache>
            </c:numRef>
          </c:xVal>
          <c:yVal>
            <c:numRef>
              <c:f>Sheet35!$E$73:$E$84</c:f>
              <c:numCache>
                <c:formatCode>General</c:formatCode>
                <c:ptCount val="12"/>
                <c:pt idx="0">
                  <c:v>259.20467553364659</c:v>
                </c:pt>
                <c:pt idx="1">
                  <c:v>277.84121320249778</c:v>
                </c:pt>
                <c:pt idx="2">
                  <c:v>299.02824858757072</c:v>
                </c:pt>
                <c:pt idx="3">
                  <c:v>323.08673978065809</c:v>
                </c:pt>
                <c:pt idx="4">
                  <c:v>350.67372881355936</c:v>
                </c:pt>
                <c:pt idx="5">
                  <c:v>382.55819209039544</c:v>
                </c:pt>
                <c:pt idx="6">
                  <c:v>419.84987893462471</c:v>
                </c:pt>
                <c:pt idx="7">
                  <c:v>463.91655801825289</c:v>
                </c:pt>
                <c:pt idx="8">
                  <c:v>516.59887005649716</c:v>
                </c:pt>
                <c:pt idx="9">
                  <c:v>580.51771956856703</c:v>
                </c:pt>
                <c:pt idx="10">
                  <c:v>659.6474576271188</c:v>
                </c:pt>
                <c:pt idx="11">
                  <c:v>901.00795748102144</c:v>
                </c:pt>
              </c:numCache>
            </c:numRef>
          </c:yVal>
          <c:smooth val="0"/>
        </c:ser>
        <c:ser>
          <c:idx val="1"/>
          <c:order val="1"/>
          <c:tx>
            <c:v>3-Feb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Sheet35!$B$84:$B$85</c:f>
              <c:numCache>
                <c:formatCode>General</c:formatCode>
                <c:ptCount val="2"/>
                <c:pt idx="0">
                  <c:v>40</c:v>
                </c:pt>
                <c:pt idx="1">
                  <c:v>20.652200000000001</c:v>
                </c:pt>
              </c:numCache>
            </c:numRef>
          </c:xVal>
          <c:yVal>
            <c:numRef>
              <c:f>Sheet35!$E$84:$E$85</c:f>
              <c:numCache>
                <c:formatCode>General</c:formatCode>
                <c:ptCount val="2"/>
                <c:pt idx="0">
                  <c:v>901.00795748102144</c:v>
                </c:pt>
                <c:pt idx="1">
                  <c:v>901.00795748102144</c:v>
                </c:pt>
              </c:numCache>
            </c:numRef>
          </c:yVal>
          <c:smooth val="0"/>
        </c:ser>
        <c:ser>
          <c:idx val="2"/>
          <c:order val="2"/>
          <c:tx>
            <c:v>2-Jan</c:v>
          </c:tx>
          <c:spPr>
            <a:ln w="254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Sheet35!$B$85:$B$93</c:f>
              <c:numCache>
                <c:formatCode>General</c:formatCode>
                <c:ptCount val="9"/>
                <c:pt idx="0">
                  <c:v>20.652200000000001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100</c:v>
                </c:pt>
              </c:numCache>
            </c:numRef>
          </c:xVal>
          <c:yVal>
            <c:numRef>
              <c:f>Sheet35!$E$85:$E$93</c:f>
              <c:numCache>
                <c:formatCode>General</c:formatCode>
                <c:ptCount val="9"/>
                <c:pt idx="0">
                  <c:v>901.00795748102144</c:v>
                </c:pt>
                <c:pt idx="1">
                  <c:v>554.97390777780959</c:v>
                </c:pt>
                <c:pt idx="2">
                  <c:v>472.21788693420126</c:v>
                </c:pt>
                <c:pt idx="3">
                  <c:v>408.58933834251366</c:v>
                </c:pt>
                <c:pt idx="4">
                  <c:v>358.27999986708636</c:v>
                </c:pt>
                <c:pt idx="5">
                  <c:v>317.8583741860964</c:v>
                </c:pt>
                <c:pt idx="6">
                  <c:v>284.58375107709969</c:v>
                </c:pt>
                <c:pt idx="7">
                  <c:v>256.86651867880738</c:v>
                </c:pt>
                <c:pt idx="8">
                  <c:v>100</c:v>
                </c:pt>
              </c:numCache>
            </c:numRef>
          </c:yVal>
          <c:smooth val="0"/>
        </c:ser>
        <c:ser>
          <c:idx val="3"/>
          <c:order val="3"/>
          <c:tx>
            <c:v>4-Jan</c:v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FF00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Sheet35!$B$93:$B$94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Sheet35!$E$93:$E$94</c:f>
              <c:numCache>
                <c:formatCode>General</c:formatCode>
                <c:ptCount val="2"/>
                <c:pt idx="0">
                  <c:v>100</c:v>
                </c:pt>
                <c:pt idx="1">
                  <c:v>259.20467553364659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4633872"/>
        <c:axId val="394632240"/>
      </c:scatterChart>
      <c:valAx>
        <c:axId val="39463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[m^3]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32240"/>
        <c:crosses val="autoZero"/>
        <c:crossBetween val="midCat"/>
      </c:valAx>
      <c:valAx>
        <c:axId val="39463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</a:t>
                </a:r>
                <a:r>
                  <a:rPr lang="en-US" baseline="0"/>
                  <a:t> {KPa}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3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238123</xdr:colOff>
      <xdr:row>47</xdr:row>
      <xdr:rowOff>1</xdr:rowOff>
    </xdr:from>
    <xdr:to>
      <xdr:col>18</xdr:col>
      <xdr:colOff>23812</xdr:colOff>
      <xdr:row>69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22"/>
  <sheetViews>
    <sheetView topLeftCell="A25" workbookViewId="0">
      <selection activeCell="U5" sqref="U5"/>
    </sheetView>
  </sheetViews>
  <sheetFormatPr defaultRowHeight="15" x14ac:dyDescent="0.25"/>
  <sheetData>
    <row r="1" spans="1:6" x14ac:dyDescent="0.25">
      <c r="A1" s="6" t="s">
        <v>0</v>
      </c>
      <c r="B1" s="6" t="s">
        <v>1</v>
      </c>
      <c r="C1" s="6" t="s">
        <v>11</v>
      </c>
      <c r="D1" s="6" t="s">
        <v>12</v>
      </c>
      <c r="E1" s="6" t="s">
        <v>13</v>
      </c>
      <c r="F1" s="6" t="s">
        <v>14</v>
      </c>
    </row>
    <row r="2" spans="1:6" x14ac:dyDescent="0.25">
      <c r="A2" s="6" t="s">
        <v>9</v>
      </c>
      <c r="B2" s="6" t="s">
        <v>10</v>
      </c>
      <c r="C2" s="6"/>
      <c r="D2" s="6" t="s">
        <v>10</v>
      </c>
      <c r="E2" s="6"/>
      <c r="F2" s="6" t="s">
        <v>15</v>
      </c>
    </row>
    <row r="3" spans="1:6" x14ac:dyDescent="0.25">
      <c r="A3" s="5">
        <v>200</v>
      </c>
      <c r="B3" s="5">
        <v>199.97</v>
      </c>
      <c r="C3" s="5">
        <v>0.33629999999999999</v>
      </c>
      <c r="D3" s="5">
        <v>142.56</v>
      </c>
      <c r="E3" s="5">
        <v>1707</v>
      </c>
      <c r="F3" s="5">
        <v>1.29559</v>
      </c>
    </row>
    <row r="4" spans="1:6" x14ac:dyDescent="0.25">
      <c r="A4" s="5">
        <v>210</v>
      </c>
      <c r="B4" s="5">
        <v>209.97</v>
      </c>
      <c r="C4" s="5">
        <v>0.3987</v>
      </c>
      <c r="D4" s="5">
        <v>149.69</v>
      </c>
      <c r="E4" s="5">
        <v>1512</v>
      </c>
      <c r="F4" s="5">
        <v>1.3444400000000001</v>
      </c>
    </row>
    <row r="5" spans="1:6" x14ac:dyDescent="0.25">
      <c r="A5" s="5">
        <v>220</v>
      </c>
      <c r="B5" s="5">
        <v>219.97</v>
      </c>
      <c r="C5" s="5">
        <v>0.46899999999999997</v>
      </c>
      <c r="D5" s="5">
        <v>156.82</v>
      </c>
      <c r="E5" s="5">
        <v>1346</v>
      </c>
      <c r="F5" s="5">
        <v>1.3910499999999999</v>
      </c>
    </row>
    <row r="6" spans="1:6" x14ac:dyDescent="0.25">
      <c r="A6" s="5">
        <v>230</v>
      </c>
      <c r="B6" s="5">
        <v>230.02</v>
      </c>
      <c r="C6" s="5">
        <v>0.54769999999999996</v>
      </c>
      <c r="D6" s="5">
        <v>164</v>
      </c>
      <c r="E6" s="5">
        <v>1205</v>
      </c>
      <c r="F6" s="5">
        <v>1.43557</v>
      </c>
    </row>
    <row r="7" spans="1:6" x14ac:dyDescent="0.25">
      <c r="A7" s="5">
        <v>240</v>
      </c>
      <c r="B7" s="5">
        <v>240.02</v>
      </c>
      <c r="C7" s="5">
        <v>0.63549999999999995</v>
      </c>
      <c r="D7" s="5">
        <v>171.13</v>
      </c>
      <c r="E7" s="5">
        <v>1084</v>
      </c>
      <c r="F7" s="5">
        <v>1.47824</v>
      </c>
    </row>
    <row r="8" spans="1:6" x14ac:dyDescent="0.25">
      <c r="A8" s="5">
        <v>250</v>
      </c>
      <c r="B8" s="5">
        <v>250.05</v>
      </c>
      <c r="C8" s="5">
        <v>0.7329</v>
      </c>
      <c r="D8" s="5">
        <v>178.28</v>
      </c>
      <c r="E8" s="5">
        <v>979</v>
      </c>
      <c r="F8" s="5">
        <v>1.5191699999999999</v>
      </c>
    </row>
    <row r="9" spans="1:6" x14ac:dyDescent="0.25">
      <c r="A9" s="5">
        <v>260</v>
      </c>
      <c r="B9" s="5">
        <v>260.08999999999997</v>
      </c>
      <c r="C9" s="5">
        <v>0.84050000000000002</v>
      </c>
      <c r="D9" s="5">
        <v>185.45</v>
      </c>
      <c r="E9" s="5">
        <v>887.8</v>
      </c>
      <c r="F9" s="5">
        <v>1.5584800000000001</v>
      </c>
    </row>
    <row r="10" spans="1:6" x14ac:dyDescent="0.25">
      <c r="A10" s="5">
        <v>270</v>
      </c>
      <c r="B10" s="5">
        <v>270.11</v>
      </c>
      <c r="C10" s="5">
        <v>0.95899999999999996</v>
      </c>
      <c r="D10" s="5">
        <v>192.6</v>
      </c>
      <c r="E10" s="5">
        <v>808</v>
      </c>
      <c r="F10" s="5">
        <v>1.5963400000000001</v>
      </c>
    </row>
    <row r="11" spans="1:6" x14ac:dyDescent="0.25">
      <c r="A11" s="5">
        <v>280</v>
      </c>
      <c r="B11" s="5">
        <v>280.13</v>
      </c>
      <c r="C11" s="5">
        <v>1.0889</v>
      </c>
      <c r="D11" s="5">
        <v>199.75</v>
      </c>
      <c r="E11" s="5">
        <v>738</v>
      </c>
      <c r="F11" s="5">
        <v>1.63279</v>
      </c>
    </row>
    <row r="12" spans="1:6" x14ac:dyDescent="0.25">
      <c r="A12" s="5">
        <v>285</v>
      </c>
      <c r="B12" s="5">
        <v>285.14</v>
      </c>
      <c r="C12" s="5">
        <v>1.1584000000000001</v>
      </c>
      <c r="D12" s="5">
        <v>203.33</v>
      </c>
      <c r="E12" s="5">
        <v>706.1</v>
      </c>
      <c r="F12" s="5">
        <v>1.65055</v>
      </c>
    </row>
    <row r="13" spans="1:6" x14ac:dyDescent="0.25">
      <c r="A13" s="5">
        <v>290</v>
      </c>
      <c r="B13" s="5">
        <v>290.16000000000003</v>
      </c>
      <c r="C13" s="5">
        <v>1.2311000000000001</v>
      </c>
      <c r="D13" s="5">
        <v>206.91</v>
      </c>
      <c r="E13" s="5">
        <v>676.1</v>
      </c>
      <c r="F13" s="5">
        <v>1.6680200000000001</v>
      </c>
    </row>
    <row r="14" spans="1:6" x14ac:dyDescent="0.25">
      <c r="A14" s="5">
        <v>295</v>
      </c>
      <c r="B14" s="5">
        <v>295.17</v>
      </c>
      <c r="C14" s="5">
        <v>1.3068</v>
      </c>
      <c r="D14" s="5">
        <v>210.49</v>
      </c>
      <c r="E14" s="5">
        <v>647.9</v>
      </c>
      <c r="F14" s="5">
        <v>1.6851499999999999</v>
      </c>
    </row>
    <row r="15" spans="1:6" x14ac:dyDescent="0.25">
      <c r="A15" s="5">
        <v>298</v>
      </c>
      <c r="B15" s="5">
        <v>298.18</v>
      </c>
      <c r="C15" s="5">
        <v>1.3543000000000001</v>
      </c>
      <c r="D15" s="5">
        <v>212.64</v>
      </c>
      <c r="E15" s="5">
        <v>631.9</v>
      </c>
      <c r="F15" s="5">
        <v>1.6952799999999999</v>
      </c>
    </row>
    <row r="16" spans="1:6" x14ac:dyDescent="0.25">
      <c r="A16" s="5">
        <v>300</v>
      </c>
      <c r="B16" s="5">
        <v>300.19</v>
      </c>
      <c r="C16" s="5">
        <v>1.3859999999999999</v>
      </c>
      <c r="D16" s="5">
        <v>214.07</v>
      </c>
      <c r="E16" s="5">
        <v>621.20000000000005</v>
      </c>
      <c r="F16" s="5">
        <v>1.7020299999999999</v>
      </c>
    </row>
    <row r="17" spans="1:6" x14ac:dyDescent="0.25">
      <c r="A17" s="5">
        <v>305</v>
      </c>
      <c r="B17" s="5">
        <v>305.22000000000003</v>
      </c>
      <c r="C17" s="5">
        <v>1.4685999999999999</v>
      </c>
      <c r="D17" s="5">
        <v>217.67</v>
      </c>
      <c r="E17" s="5">
        <v>596</v>
      </c>
      <c r="F17" s="5">
        <v>1.71865</v>
      </c>
    </row>
    <row r="18" spans="1:6" x14ac:dyDescent="0.25">
      <c r="A18" s="5">
        <v>310</v>
      </c>
      <c r="B18" s="5">
        <v>310.24</v>
      </c>
      <c r="C18" s="5">
        <v>1.5546</v>
      </c>
      <c r="D18" s="5">
        <v>221.25</v>
      </c>
      <c r="E18" s="5">
        <v>572.29999999999995</v>
      </c>
      <c r="F18" s="5">
        <v>1.73498</v>
      </c>
    </row>
    <row r="19" spans="1:6" x14ac:dyDescent="0.25">
      <c r="A19" s="5">
        <v>315</v>
      </c>
      <c r="B19" s="5">
        <v>315.27</v>
      </c>
      <c r="C19" s="5">
        <v>1.6442000000000001</v>
      </c>
      <c r="D19" s="5">
        <v>224.85</v>
      </c>
      <c r="E19" s="5">
        <v>549.79999999999995</v>
      </c>
      <c r="F19" s="5">
        <v>1.7510600000000001</v>
      </c>
    </row>
    <row r="20" spans="1:6" x14ac:dyDescent="0.25">
      <c r="A20" s="5">
        <v>320</v>
      </c>
      <c r="B20" s="5">
        <v>320.29000000000002</v>
      </c>
      <c r="C20" s="5">
        <v>1.7375</v>
      </c>
      <c r="D20" s="5">
        <v>228.42</v>
      </c>
      <c r="E20" s="5">
        <v>528.6</v>
      </c>
      <c r="F20" s="5">
        <v>1.7668999999999999</v>
      </c>
    </row>
    <row r="21" spans="1:6" x14ac:dyDescent="0.25">
      <c r="A21" s="5">
        <v>325</v>
      </c>
      <c r="B21" s="5">
        <v>325.31</v>
      </c>
      <c r="C21" s="5">
        <v>1.8345</v>
      </c>
      <c r="D21" s="5">
        <v>232.02</v>
      </c>
      <c r="E21" s="5">
        <v>508.4</v>
      </c>
      <c r="F21" s="5">
        <v>1.7824899999999999</v>
      </c>
    </row>
    <row r="22" spans="1:6" x14ac:dyDescent="0.25">
      <c r="A22" s="5">
        <v>330</v>
      </c>
      <c r="B22" s="5">
        <v>330.34</v>
      </c>
      <c r="C22" s="5">
        <v>1.9352</v>
      </c>
      <c r="D22" s="5">
        <v>235.61</v>
      </c>
      <c r="E22" s="5">
        <v>489.4</v>
      </c>
      <c r="F22" s="5">
        <v>1.79783</v>
      </c>
    </row>
    <row r="23" spans="1:6" x14ac:dyDescent="0.25">
      <c r="A23" s="5">
        <v>340</v>
      </c>
      <c r="B23" s="5">
        <v>340.42</v>
      </c>
      <c r="C23" s="5">
        <v>2.149</v>
      </c>
      <c r="D23" s="5">
        <v>242.82</v>
      </c>
      <c r="E23" s="5">
        <v>454.1</v>
      </c>
      <c r="F23" s="5">
        <v>1.8279000000000001</v>
      </c>
    </row>
    <row r="24" spans="1:6" x14ac:dyDescent="0.25">
      <c r="A24" s="5">
        <v>350</v>
      </c>
      <c r="B24" s="5">
        <v>350.49</v>
      </c>
      <c r="C24" s="5">
        <v>2.379</v>
      </c>
      <c r="D24" s="5">
        <v>250.02</v>
      </c>
      <c r="E24" s="5">
        <v>422.2</v>
      </c>
      <c r="F24" s="5">
        <v>1.8570800000000001</v>
      </c>
    </row>
    <row r="25" spans="1:6" x14ac:dyDescent="0.25">
      <c r="A25" s="5">
        <v>360</v>
      </c>
      <c r="B25" s="5">
        <v>360.58</v>
      </c>
      <c r="C25" s="5">
        <v>2.6259999999999999</v>
      </c>
      <c r="D25" s="5">
        <v>257.24</v>
      </c>
      <c r="E25" s="5">
        <v>393.4</v>
      </c>
      <c r="F25" s="5">
        <v>1.8854299999999999</v>
      </c>
    </row>
    <row r="26" spans="1:6" x14ac:dyDescent="0.25">
      <c r="A26" s="5">
        <v>370</v>
      </c>
      <c r="B26" s="5">
        <v>370.67</v>
      </c>
      <c r="C26" s="5">
        <v>2.8919999999999999</v>
      </c>
      <c r="D26" s="5">
        <v>264.45999999999998</v>
      </c>
      <c r="E26" s="5">
        <v>367.2</v>
      </c>
      <c r="F26" s="5">
        <v>1.91313</v>
      </c>
    </row>
    <row r="27" spans="1:6" x14ac:dyDescent="0.25">
      <c r="A27" s="5">
        <v>380</v>
      </c>
      <c r="B27" s="5">
        <v>380.77</v>
      </c>
      <c r="C27" s="5">
        <v>3.1760000000000002</v>
      </c>
      <c r="D27" s="5">
        <v>271.69</v>
      </c>
      <c r="E27" s="5">
        <v>343.4</v>
      </c>
      <c r="F27" s="5">
        <v>1.94001</v>
      </c>
    </row>
    <row r="28" spans="1:6" x14ac:dyDescent="0.25">
      <c r="A28" s="5">
        <v>390</v>
      </c>
      <c r="B28" s="5">
        <v>390.88</v>
      </c>
      <c r="C28" s="5">
        <v>3.4809999999999999</v>
      </c>
      <c r="D28" s="5">
        <v>278.93</v>
      </c>
      <c r="E28" s="5">
        <v>321.5</v>
      </c>
      <c r="F28" s="5">
        <v>1.9663299999999999</v>
      </c>
    </row>
    <row r="29" spans="1:6" x14ac:dyDescent="0.25">
      <c r="A29" s="5">
        <v>400</v>
      </c>
      <c r="B29" s="5">
        <v>400.98</v>
      </c>
      <c r="C29" s="5">
        <v>3.806</v>
      </c>
      <c r="D29" s="5">
        <v>286.16000000000003</v>
      </c>
      <c r="E29" s="5">
        <v>301.60000000000002</v>
      </c>
      <c r="F29" s="5">
        <v>1.99194</v>
      </c>
    </row>
    <row r="30" spans="1:6" x14ac:dyDescent="0.25">
      <c r="A30" s="5">
        <v>410</v>
      </c>
      <c r="B30" s="5">
        <v>411.12</v>
      </c>
      <c r="C30" s="5">
        <v>4.1529999999999996</v>
      </c>
      <c r="D30" s="5">
        <v>293.43</v>
      </c>
      <c r="E30" s="5">
        <v>283.3</v>
      </c>
      <c r="F30" s="5">
        <v>2.0169899999999998</v>
      </c>
    </row>
    <row r="31" spans="1:6" x14ac:dyDescent="0.25">
      <c r="A31" s="5">
        <v>420</v>
      </c>
      <c r="B31" s="5">
        <v>421.26</v>
      </c>
      <c r="C31" s="5">
        <v>4.5220000000000002</v>
      </c>
      <c r="D31" s="5">
        <v>300.69</v>
      </c>
      <c r="E31" s="5">
        <v>266.60000000000002</v>
      </c>
      <c r="F31" s="5">
        <v>2.04142</v>
      </c>
    </row>
    <row r="32" spans="1:6" x14ac:dyDescent="0.25">
      <c r="A32" s="5">
        <v>430</v>
      </c>
      <c r="B32" s="5">
        <v>431.43</v>
      </c>
      <c r="C32" s="5">
        <v>4.915</v>
      </c>
      <c r="D32" s="5">
        <v>307.99</v>
      </c>
      <c r="E32" s="5">
        <v>251.1</v>
      </c>
      <c r="F32" s="5">
        <v>2.0653299999999999</v>
      </c>
    </row>
    <row r="33" spans="1:6" x14ac:dyDescent="0.25">
      <c r="A33" s="5">
        <v>440</v>
      </c>
      <c r="B33" s="5">
        <v>441.61</v>
      </c>
      <c r="C33" s="5">
        <v>5.3319999999999999</v>
      </c>
      <c r="D33" s="5">
        <v>315.3</v>
      </c>
      <c r="E33" s="5">
        <v>236.8</v>
      </c>
      <c r="F33" s="5">
        <v>2.0886999999999998</v>
      </c>
    </row>
    <row r="34" spans="1:6" x14ac:dyDescent="0.25">
      <c r="A34" s="5">
        <v>450</v>
      </c>
      <c r="B34" s="5">
        <v>451.8</v>
      </c>
      <c r="C34" s="5">
        <v>5.7750000000000004</v>
      </c>
      <c r="D34" s="5">
        <v>322.62</v>
      </c>
      <c r="E34" s="5">
        <v>223.6</v>
      </c>
      <c r="F34" s="5">
        <v>2.1116100000000002</v>
      </c>
    </row>
    <row r="35" spans="1:6" x14ac:dyDescent="0.25">
      <c r="A35" s="5">
        <v>460</v>
      </c>
      <c r="B35" s="5">
        <v>462.02</v>
      </c>
      <c r="C35" s="5">
        <v>6.2450000000000001</v>
      </c>
      <c r="D35" s="5">
        <v>329.97</v>
      </c>
      <c r="E35" s="5">
        <v>211.4</v>
      </c>
      <c r="F35" s="5">
        <v>2.1340699999999999</v>
      </c>
    </row>
    <row r="36" spans="1:6" x14ac:dyDescent="0.25">
      <c r="A36" s="5">
        <v>470</v>
      </c>
      <c r="B36" s="5">
        <v>472.24</v>
      </c>
      <c r="C36" s="5">
        <v>6.742</v>
      </c>
      <c r="D36" s="5">
        <v>337.32</v>
      </c>
      <c r="E36" s="5">
        <v>200.1</v>
      </c>
      <c r="F36" s="5">
        <v>2.15604</v>
      </c>
    </row>
    <row r="37" spans="1:6" x14ac:dyDescent="0.25">
      <c r="A37" s="5">
        <v>480</v>
      </c>
      <c r="B37" s="5">
        <v>482.49</v>
      </c>
      <c r="C37" s="5">
        <v>7.2679999999999998</v>
      </c>
      <c r="D37" s="5">
        <v>344.7</v>
      </c>
      <c r="E37" s="5">
        <v>189.5</v>
      </c>
      <c r="F37" s="5">
        <v>2.1776</v>
      </c>
    </row>
    <row r="38" spans="1:6" x14ac:dyDescent="0.25">
      <c r="A38" s="5">
        <v>490</v>
      </c>
      <c r="B38" s="5">
        <v>492.74</v>
      </c>
      <c r="C38" s="5">
        <v>7.8239999999999998</v>
      </c>
      <c r="D38" s="5">
        <v>352.08</v>
      </c>
      <c r="E38" s="5">
        <v>179.7</v>
      </c>
      <c r="F38" s="5">
        <v>2.19876</v>
      </c>
    </row>
    <row r="39" spans="1:6" x14ac:dyDescent="0.25">
      <c r="A39" s="5">
        <v>500</v>
      </c>
      <c r="B39" s="5">
        <v>503.02</v>
      </c>
      <c r="C39" s="5">
        <v>8.4109999999999996</v>
      </c>
      <c r="D39" s="5">
        <v>359.49</v>
      </c>
      <c r="E39" s="5">
        <v>170.6</v>
      </c>
      <c r="F39" s="5">
        <v>2.2195200000000002</v>
      </c>
    </row>
    <row r="40" spans="1:6" x14ac:dyDescent="0.25">
      <c r="A40" s="5">
        <v>510</v>
      </c>
      <c r="B40" s="5">
        <v>513.32000000000005</v>
      </c>
      <c r="C40" s="5">
        <v>9.0310000000000006</v>
      </c>
      <c r="D40" s="5">
        <v>366.92</v>
      </c>
      <c r="E40" s="5">
        <v>162.1</v>
      </c>
      <c r="F40" s="5">
        <v>2.2399300000000002</v>
      </c>
    </row>
    <row r="41" spans="1:6" x14ac:dyDescent="0.25">
      <c r="A41" s="5">
        <v>520</v>
      </c>
      <c r="B41" s="5">
        <v>523.63</v>
      </c>
      <c r="C41" s="5">
        <v>9.6839999999999993</v>
      </c>
      <c r="D41" s="5">
        <v>374.36</v>
      </c>
      <c r="E41" s="5">
        <v>154.1</v>
      </c>
      <c r="F41" s="5">
        <v>2.25997</v>
      </c>
    </row>
    <row r="42" spans="1:6" x14ac:dyDescent="0.25">
      <c r="A42" s="5">
        <v>530</v>
      </c>
      <c r="B42" s="5">
        <v>533.98</v>
      </c>
      <c r="C42" s="5">
        <v>10.37</v>
      </c>
      <c r="D42" s="5">
        <v>381.84</v>
      </c>
      <c r="E42" s="5">
        <v>146.69999999999999</v>
      </c>
      <c r="F42" s="5">
        <v>2.2796699999999999</v>
      </c>
    </row>
    <row r="43" spans="1:6" x14ac:dyDescent="0.25">
      <c r="A43" s="5">
        <v>540</v>
      </c>
      <c r="B43" s="5">
        <v>544.35</v>
      </c>
      <c r="C43" s="5">
        <v>11.1</v>
      </c>
      <c r="D43" s="5">
        <v>389.34</v>
      </c>
      <c r="E43" s="5">
        <v>139.69999999999999</v>
      </c>
      <c r="F43" s="5">
        <v>2.2990599999999999</v>
      </c>
    </row>
    <row r="44" spans="1:6" x14ac:dyDescent="0.25">
      <c r="A44" s="5">
        <v>550</v>
      </c>
      <c r="B44" s="5">
        <v>555.74</v>
      </c>
      <c r="C44" s="5">
        <v>11.86</v>
      </c>
      <c r="D44" s="5">
        <v>396.86</v>
      </c>
      <c r="E44" s="5">
        <v>133.1</v>
      </c>
      <c r="F44" s="5">
        <v>2.3180900000000002</v>
      </c>
    </row>
    <row r="45" spans="1:6" x14ac:dyDescent="0.25">
      <c r="A45" s="5">
        <v>560</v>
      </c>
      <c r="B45" s="5">
        <v>565.16999999999996</v>
      </c>
      <c r="C45" s="5">
        <v>12.66</v>
      </c>
      <c r="D45" s="5">
        <v>404.42</v>
      </c>
      <c r="E45" s="5">
        <v>127</v>
      </c>
      <c r="F45" s="5">
        <v>2.3368500000000001</v>
      </c>
    </row>
    <row r="46" spans="1:6" x14ac:dyDescent="0.25">
      <c r="A46" s="5">
        <v>570</v>
      </c>
      <c r="B46" s="5">
        <v>575.59</v>
      </c>
      <c r="C46" s="5">
        <v>13.5</v>
      </c>
      <c r="D46" s="5">
        <v>411.97</v>
      </c>
      <c r="E46" s="5">
        <v>121.2</v>
      </c>
      <c r="F46" s="5">
        <v>2.3553099999999998</v>
      </c>
    </row>
    <row r="47" spans="1:6" x14ac:dyDescent="0.25">
      <c r="A47" s="5">
        <v>580</v>
      </c>
      <c r="B47" s="5">
        <v>586.04</v>
      </c>
      <c r="C47" s="5">
        <v>14.38</v>
      </c>
      <c r="D47" s="5">
        <v>419.55</v>
      </c>
      <c r="E47" s="5">
        <v>115.7</v>
      </c>
      <c r="F47" s="5">
        <v>2.3734799999999998</v>
      </c>
    </row>
    <row r="48" spans="1:6" x14ac:dyDescent="0.25">
      <c r="A48" s="5">
        <v>590</v>
      </c>
      <c r="B48" s="5">
        <v>596.52</v>
      </c>
      <c r="C48" s="5">
        <v>15.31</v>
      </c>
      <c r="D48" s="5">
        <v>427.15</v>
      </c>
      <c r="E48" s="5">
        <v>110.6</v>
      </c>
      <c r="F48" s="5">
        <v>2.3914</v>
      </c>
    </row>
    <row r="49" spans="1:6" x14ac:dyDescent="0.25">
      <c r="A49" s="5">
        <v>600</v>
      </c>
      <c r="B49" s="5">
        <v>607.02</v>
      </c>
      <c r="C49" s="5">
        <v>16.28</v>
      </c>
      <c r="D49" s="5">
        <v>434.78</v>
      </c>
      <c r="E49" s="5">
        <v>105.8</v>
      </c>
      <c r="F49" s="5">
        <v>2.4090199999999999</v>
      </c>
    </row>
    <row r="50" spans="1:6" x14ac:dyDescent="0.25">
      <c r="A50" s="5">
        <v>610</v>
      </c>
      <c r="B50" s="5">
        <v>617.53</v>
      </c>
      <c r="C50" s="5">
        <v>17.3</v>
      </c>
      <c r="D50" s="5">
        <v>442.42</v>
      </c>
      <c r="E50" s="5">
        <v>101.2</v>
      </c>
      <c r="F50" s="5">
        <v>2.4264399999999999</v>
      </c>
    </row>
    <row r="51" spans="1:6" x14ac:dyDescent="0.25">
      <c r="A51" s="5">
        <v>620</v>
      </c>
      <c r="B51" s="5">
        <v>628.07000000000005</v>
      </c>
      <c r="C51" s="5">
        <v>18.36</v>
      </c>
      <c r="D51" s="5">
        <v>450.09</v>
      </c>
      <c r="E51" s="5">
        <v>96.92</v>
      </c>
      <c r="F51" s="5">
        <v>2.4435600000000002</v>
      </c>
    </row>
    <row r="52" spans="1:6" x14ac:dyDescent="0.25">
      <c r="A52" s="5">
        <v>630</v>
      </c>
      <c r="B52" s="5">
        <v>638.63</v>
      </c>
      <c r="C52" s="5">
        <v>19.84</v>
      </c>
      <c r="D52" s="5">
        <v>457.78</v>
      </c>
      <c r="E52" s="5">
        <v>92.84</v>
      </c>
      <c r="F52" s="5">
        <v>2.46048</v>
      </c>
    </row>
    <row r="53" spans="1:6" x14ac:dyDescent="0.25">
      <c r="A53" s="5">
        <v>640</v>
      </c>
      <c r="B53" s="5">
        <v>649.22</v>
      </c>
      <c r="C53" s="5">
        <v>20.64</v>
      </c>
      <c r="D53" s="5">
        <v>465.5</v>
      </c>
      <c r="E53" s="5">
        <v>88.99</v>
      </c>
      <c r="F53" s="5">
        <v>2.47716</v>
      </c>
    </row>
    <row r="54" spans="1:6" x14ac:dyDescent="0.25">
      <c r="A54" s="5">
        <v>650</v>
      </c>
      <c r="B54" s="5">
        <v>659.84</v>
      </c>
      <c r="C54" s="5">
        <v>21.86</v>
      </c>
      <c r="D54" s="5">
        <v>473.25</v>
      </c>
      <c r="E54" s="5">
        <v>85.34</v>
      </c>
      <c r="F54" s="5">
        <v>2.4936400000000001</v>
      </c>
    </row>
    <row r="55" spans="1:6" x14ac:dyDescent="0.25">
      <c r="A55" s="5">
        <v>660</v>
      </c>
      <c r="B55" s="5">
        <v>670.47</v>
      </c>
      <c r="C55" s="5">
        <v>23.13</v>
      </c>
      <c r="D55" s="5">
        <v>481.01</v>
      </c>
      <c r="E55" s="5">
        <v>81.89</v>
      </c>
      <c r="F55" s="5">
        <v>2.5098500000000001</v>
      </c>
    </row>
    <row r="56" spans="1:6" x14ac:dyDescent="0.25">
      <c r="A56" s="5">
        <v>670</v>
      </c>
      <c r="B56" s="5">
        <v>681.14</v>
      </c>
      <c r="C56" s="5">
        <v>24.46</v>
      </c>
      <c r="D56" s="5">
        <v>488.81</v>
      </c>
      <c r="E56" s="5">
        <v>78.61</v>
      </c>
      <c r="F56" s="5">
        <v>2.52589</v>
      </c>
    </row>
    <row r="57" spans="1:6" x14ac:dyDescent="0.25">
      <c r="A57" s="5">
        <v>680</v>
      </c>
      <c r="B57" s="5">
        <v>691.82</v>
      </c>
      <c r="C57" s="5">
        <v>25.85</v>
      </c>
      <c r="D57" s="5">
        <v>496.62</v>
      </c>
      <c r="E57" s="5">
        <v>75.5</v>
      </c>
      <c r="F57" s="5">
        <v>2.54175</v>
      </c>
    </row>
    <row r="58" spans="1:6" x14ac:dyDescent="0.25">
      <c r="A58" s="5">
        <v>690</v>
      </c>
      <c r="B58" s="5">
        <v>702.52</v>
      </c>
      <c r="C58" s="5">
        <v>27.29</v>
      </c>
      <c r="D58" s="5">
        <v>504.45</v>
      </c>
      <c r="E58" s="5">
        <v>72.56</v>
      </c>
      <c r="F58" s="5">
        <v>2.5573100000000002</v>
      </c>
    </row>
    <row r="59" spans="1:6" x14ac:dyDescent="0.25">
      <c r="A59" s="5">
        <v>700</v>
      </c>
      <c r="B59" s="5">
        <v>713.27</v>
      </c>
      <c r="C59" s="5">
        <v>28.8</v>
      </c>
      <c r="D59" s="5">
        <v>512.33000000000004</v>
      </c>
      <c r="E59" s="5">
        <v>69.760000000000005</v>
      </c>
      <c r="F59" s="5">
        <v>2.5727699999999998</v>
      </c>
    </row>
    <row r="60" spans="1:6" x14ac:dyDescent="0.25">
      <c r="A60" s="5">
        <v>710</v>
      </c>
      <c r="B60" s="5">
        <v>724.04</v>
      </c>
      <c r="C60" s="5">
        <v>30.38</v>
      </c>
      <c r="D60" s="5">
        <v>520.23</v>
      </c>
      <c r="E60" s="5">
        <v>67.069999999999993</v>
      </c>
      <c r="F60" s="5">
        <v>2.5880999999999998</v>
      </c>
    </row>
    <row r="61" spans="1:6" x14ac:dyDescent="0.25">
      <c r="A61" s="5">
        <v>720</v>
      </c>
      <c r="B61" s="5">
        <v>734.82</v>
      </c>
      <c r="C61" s="5">
        <v>32.020000000000003</v>
      </c>
      <c r="D61" s="5">
        <v>528.14</v>
      </c>
      <c r="E61" s="5">
        <v>64.53</v>
      </c>
      <c r="F61" s="5">
        <v>2.6031900000000001</v>
      </c>
    </row>
    <row r="62" spans="1:6" x14ac:dyDescent="0.25">
      <c r="A62" s="5">
        <v>730</v>
      </c>
      <c r="B62" s="5">
        <v>745.62</v>
      </c>
      <c r="C62" s="5">
        <v>33.72</v>
      </c>
      <c r="D62" s="5">
        <v>536.07000000000005</v>
      </c>
      <c r="E62" s="5">
        <v>62.13</v>
      </c>
      <c r="F62" s="5">
        <v>2.6180300000000001</v>
      </c>
    </row>
    <row r="63" spans="1:6" x14ac:dyDescent="0.25">
      <c r="A63" s="5">
        <v>740</v>
      </c>
      <c r="B63" s="5">
        <v>756.44</v>
      </c>
      <c r="C63" s="5">
        <v>35.5</v>
      </c>
      <c r="D63" s="5">
        <v>544.02</v>
      </c>
      <c r="E63" s="5">
        <v>59.82</v>
      </c>
      <c r="F63" s="5">
        <v>2.6328</v>
      </c>
    </row>
    <row r="64" spans="1:6" x14ac:dyDescent="0.25">
      <c r="A64" s="5">
        <v>750</v>
      </c>
      <c r="B64" s="5">
        <v>767.29</v>
      </c>
      <c r="C64" s="5">
        <v>37.35</v>
      </c>
      <c r="D64" s="5">
        <v>551.99</v>
      </c>
      <c r="E64" s="5">
        <v>57.63</v>
      </c>
      <c r="F64" s="5">
        <v>2.64737</v>
      </c>
    </row>
    <row r="65" spans="1:6" x14ac:dyDescent="0.25">
      <c r="A65" s="5">
        <v>760</v>
      </c>
      <c r="B65" s="5">
        <v>778.18</v>
      </c>
      <c r="C65" s="5">
        <v>39.270000000000003</v>
      </c>
      <c r="D65" s="5">
        <v>560.01</v>
      </c>
      <c r="E65" s="5">
        <v>55.54</v>
      </c>
      <c r="F65" s="5">
        <v>2.6617600000000001</v>
      </c>
    </row>
    <row r="66" spans="1:6" x14ac:dyDescent="0.25">
      <c r="A66" s="5">
        <v>780</v>
      </c>
      <c r="B66" s="5">
        <v>800.03</v>
      </c>
      <c r="C66" s="5">
        <v>43.35</v>
      </c>
      <c r="D66" s="5">
        <v>576.12</v>
      </c>
      <c r="E66" s="5">
        <v>51.64</v>
      </c>
      <c r="F66" s="5">
        <v>2.6901299999999999</v>
      </c>
    </row>
    <row r="67" spans="1:6" x14ac:dyDescent="0.25">
      <c r="A67" s="5">
        <v>800</v>
      </c>
      <c r="B67" s="5">
        <v>821.95</v>
      </c>
      <c r="C67" s="5">
        <v>47.75</v>
      </c>
      <c r="D67" s="5">
        <v>592.29999999999995</v>
      </c>
      <c r="E67" s="5">
        <v>48.08</v>
      </c>
      <c r="F67" s="5">
        <v>2.71787</v>
      </c>
    </row>
    <row r="68" spans="1:6" x14ac:dyDescent="0.25">
      <c r="A68" s="5">
        <v>820</v>
      </c>
      <c r="B68" s="5">
        <v>843.98</v>
      </c>
      <c r="C68" s="5">
        <v>52.59</v>
      </c>
      <c r="D68" s="5">
        <v>608.59</v>
      </c>
      <c r="E68" s="5">
        <v>44.84</v>
      </c>
      <c r="F68" s="5">
        <v>2.7450399999999999</v>
      </c>
    </row>
    <row r="69" spans="1:6" x14ac:dyDescent="0.25">
      <c r="A69" s="5">
        <v>840</v>
      </c>
      <c r="B69" s="5">
        <v>866.08</v>
      </c>
      <c r="C69" s="5">
        <v>57.6</v>
      </c>
      <c r="D69" s="5">
        <v>624.95000000000005</v>
      </c>
      <c r="E69" s="5">
        <v>41.85</v>
      </c>
      <c r="F69" s="5">
        <v>2.7717000000000001</v>
      </c>
    </row>
    <row r="70" spans="1:6" x14ac:dyDescent="0.25">
      <c r="A70" s="5">
        <v>860</v>
      </c>
      <c r="B70" s="5">
        <v>888.27</v>
      </c>
      <c r="C70" s="5">
        <v>63.09</v>
      </c>
      <c r="D70" s="5">
        <v>641.4</v>
      </c>
      <c r="E70" s="5">
        <v>39.119999999999997</v>
      </c>
      <c r="F70" s="5">
        <v>2.7978299999999998</v>
      </c>
    </row>
    <row r="71" spans="1:6" x14ac:dyDescent="0.25">
      <c r="A71" s="5">
        <v>880</v>
      </c>
      <c r="B71" s="5">
        <v>910.56</v>
      </c>
      <c r="C71" s="5">
        <v>68.98</v>
      </c>
      <c r="D71" s="5">
        <v>657.95</v>
      </c>
      <c r="E71" s="5">
        <v>36.61</v>
      </c>
      <c r="F71" s="5">
        <v>2.8234400000000002</v>
      </c>
    </row>
    <row r="72" spans="1:6" x14ac:dyDescent="0.25">
      <c r="A72" s="5">
        <v>900</v>
      </c>
      <c r="B72" s="5">
        <v>932.93</v>
      </c>
      <c r="C72" s="5">
        <v>75.290000000000006</v>
      </c>
      <c r="D72" s="5">
        <v>674.58</v>
      </c>
      <c r="E72" s="5">
        <v>34.31</v>
      </c>
      <c r="F72" s="5">
        <v>2.84856</v>
      </c>
    </row>
    <row r="73" spans="1:6" x14ac:dyDescent="0.25">
      <c r="A73" s="5">
        <v>920</v>
      </c>
      <c r="B73" s="5">
        <v>955.38</v>
      </c>
      <c r="C73" s="5">
        <v>82.05</v>
      </c>
      <c r="D73" s="5">
        <v>691.28</v>
      </c>
      <c r="E73" s="5">
        <v>32.18</v>
      </c>
      <c r="F73" s="5">
        <v>2.87324</v>
      </c>
    </row>
    <row r="74" spans="1:6" x14ac:dyDescent="0.25">
      <c r="A74" s="5">
        <v>940</v>
      </c>
      <c r="B74" s="5">
        <v>977.92</v>
      </c>
      <c r="C74" s="5">
        <v>89.28</v>
      </c>
      <c r="D74" s="5">
        <v>708.08</v>
      </c>
      <c r="E74" s="5">
        <v>30.22</v>
      </c>
      <c r="F74" s="5">
        <v>2.8974799999999998</v>
      </c>
    </row>
    <row r="75" spans="1:6" x14ac:dyDescent="0.25">
      <c r="A75" s="5">
        <v>960</v>
      </c>
      <c r="B75" s="5">
        <v>1000.55</v>
      </c>
      <c r="C75" s="5">
        <v>97</v>
      </c>
      <c r="D75" s="5">
        <v>725.02</v>
      </c>
      <c r="E75" s="5">
        <v>28.4</v>
      </c>
      <c r="F75" s="5">
        <v>2.9212799999999999</v>
      </c>
    </row>
    <row r="76" spans="1:6" x14ac:dyDescent="0.25">
      <c r="A76" s="5">
        <v>980</v>
      </c>
      <c r="B76" s="5">
        <v>1023.25</v>
      </c>
      <c r="C76" s="5">
        <v>105.2</v>
      </c>
      <c r="D76" s="5">
        <v>741.98</v>
      </c>
      <c r="E76" s="5">
        <v>26.73</v>
      </c>
      <c r="F76" s="5">
        <v>2.94468</v>
      </c>
    </row>
    <row r="77" spans="1:6" x14ac:dyDescent="0.25">
      <c r="A77" s="5">
        <v>1000</v>
      </c>
      <c r="B77" s="5">
        <v>1046.04</v>
      </c>
      <c r="C77" s="5">
        <v>114</v>
      </c>
      <c r="D77" s="5">
        <v>758.94</v>
      </c>
      <c r="E77" s="5">
        <v>25.17</v>
      </c>
      <c r="F77" s="5">
        <v>2.9676999999999998</v>
      </c>
    </row>
    <row r="78" spans="1:6" x14ac:dyDescent="0.25">
      <c r="A78" s="5">
        <v>1020</v>
      </c>
      <c r="B78" s="5">
        <v>1068.8900000000001</v>
      </c>
      <c r="C78" s="5">
        <v>123.4</v>
      </c>
      <c r="D78" s="5">
        <v>776.1</v>
      </c>
      <c r="E78" s="5">
        <v>23.72</v>
      </c>
      <c r="F78" s="5">
        <v>2.9903400000000002</v>
      </c>
    </row>
    <row r="79" spans="1:6" x14ac:dyDescent="0.25">
      <c r="A79" s="5">
        <v>1040</v>
      </c>
      <c r="B79" s="5">
        <v>1091.8499999999999</v>
      </c>
      <c r="C79" s="5">
        <v>133.30000000000001</v>
      </c>
      <c r="D79" s="5">
        <v>793.36</v>
      </c>
      <c r="E79" s="5">
        <v>23.29</v>
      </c>
      <c r="F79" s="5">
        <v>3.0125999999999999</v>
      </c>
    </row>
    <row r="80" spans="1:6" x14ac:dyDescent="0.25">
      <c r="A80" s="5">
        <v>1060</v>
      </c>
      <c r="B80" s="5">
        <v>1114.8599999999999</v>
      </c>
      <c r="C80" s="5">
        <v>143.9</v>
      </c>
      <c r="D80" s="5">
        <v>810.62</v>
      </c>
      <c r="E80" s="5">
        <v>21.14</v>
      </c>
      <c r="F80" s="5">
        <v>3.0344899999999999</v>
      </c>
    </row>
    <row r="81" spans="1:6" x14ac:dyDescent="0.25">
      <c r="A81" s="5">
        <v>1080</v>
      </c>
      <c r="B81" s="5">
        <v>1137.8900000000001</v>
      </c>
      <c r="C81" s="5">
        <v>155.19999999999999</v>
      </c>
      <c r="D81" s="5">
        <v>827.88</v>
      </c>
      <c r="E81" s="5">
        <v>19.98</v>
      </c>
      <c r="F81" s="5">
        <v>3.0560800000000001</v>
      </c>
    </row>
    <row r="82" spans="1:6" x14ac:dyDescent="0.25">
      <c r="A82" s="5">
        <v>1100</v>
      </c>
      <c r="B82" s="5">
        <v>1161.07</v>
      </c>
      <c r="C82" s="5">
        <v>167.1</v>
      </c>
      <c r="D82" s="5">
        <v>845.33</v>
      </c>
      <c r="E82" s="5">
        <v>18.896000000000001</v>
      </c>
      <c r="F82" s="5">
        <v>3.0773199999999998</v>
      </c>
    </row>
    <row r="83" spans="1:6" x14ac:dyDescent="0.25">
      <c r="A83" s="5">
        <v>1120</v>
      </c>
      <c r="B83" s="5">
        <v>1184.28</v>
      </c>
      <c r="C83" s="5">
        <v>179.7</v>
      </c>
      <c r="D83" s="5">
        <v>862.79</v>
      </c>
      <c r="E83" s="5">
        <v>17.885999999999999</v>
      </c>
      <c r="F83" s="5">
        <v>3.0982500000000002</v>
      </c>
    </row>
    <row r="84" spans="1:6" x14ac:dyDescent="0.25">
      <c r="A84" s="5">
        <v>1140</v>
      </c>
      <c r="B84" s="5">
        <v>1207.57</v>
      </c>
      <c r="C84" s="5">
        <v>193.1</v>
      </c>
      <c r="D84" s="5">
        <v>880.35</v>
      </c>
      <c r="E84" s="5">
        <v>16.946000000000002</v>
      </c>
      <c r="F84" s="5">
        <v>3.11883</v>
      </c>
    </row>
    <row r="85" spans="1:6" x14ac:dyDescent="0.25">
      <c r="A85" s="5">
        <v>1160</v>
      </c>
      <c r="B85" s="5">
        <v>1230.92</v>
      </c>
      <c r="C85" s="5">
        <v>207.2</v>
      </c>
      <c r="D85" s="5">
        <v>897.91</v>
      </c>
      <c r="E85" s="5">
        <v>16.064</v>
      </c>
      <c r="F85" s="5">
        <v>3.13916</v>
      </c>
    </row>
    <row r="86" spans="1:6" x14ac:dyDescent="0.25">
      <c r="A86" s="5">
        <v>1180</v>
      </c>
      <c r="B86" s="5">
        <v>1254.3399999999999</v>
      </c>
      <c r="C86" s="5">
        <v>222.2</v>
      </c>
      <c r="D86" s="5">
        <v>915.57</v>
      </c>
      <c r="E86" s="5">
        <v>15.241</v>
      </c>
      <c r="F86" s="5">
        <v>3.15916</v>
      </c>
    </row>
    <row r="87" spans="1:6" x14ac:dyDescent="0.25">
      <c r="A87" s="5">
        <v>1200</v>
      </c>
      <c r="B87" s="5">
        <v>1277.79</v>
      </c>
      <c r="C87" s="5">
        <v>238</v>
      </c>
      <c r="D87" s="5">
        <v>933.33</v>
      </c>
      <c r="E87" s="5">
        <v>14.47</v>
      </c>
      <c r="F87" s="5">
        <v>3.1788799999999999</v>
      </c>
    </row>
    <row r="88" spans="1:6" x14ac:dyDescent="0.25">
      <c r="A88" s="5">
        <v>1220</v>
      </c>
      <c r="B88" s="5">
        <v>1301.31</v>
      </c>
      <c r="C88" s="5">
        <v>254.7</v>
      </c>
      <c r="D88" s="5">
        <v>951.09</v>
      </c>
      <c r="E88" s="5">
        <v>13.747</v>
      </c>
      <c r="F88" s="5">
        <v>3.19834</v>
      </c>
    </row>
    <row r="89" spans="1:6" x14ac:dyDescent="0.25">
      <c r="A89" s="5">
        <v>1240</v>
      </c>
      <c r="B89" s="5">
        <v>1324.93</v>
      </c>
      <c r="C89" s="5">
        <v>272.3</v>
      </c>
      <c r="D89" s="5">
        <v>968.95</v>
      </c>
      <c r="E89" s="5">
        <v>13.069000000000001</v>
      </c>
      <c r="F89" s="5">
        <v>3.2175099999999999</v>
      </c>
    </row>
    <row r="90" spans="1:6" x14ac:dyDescent="0.25">
      <c r="A90" s="5">
        <v>1260</v>
      </c>
      <c r="B90" s="5">
        <v>1348.55</v>
      </c>
      <c r="C90" s="5">
        <v>290.8</v>
      </c>
      <c r="D90" s="5">
        <v>986.9</v>
      </c>
      <c r="E90" s="5">
        <v>12.435</v>
      </c>
      <c r="F90" s="5">
        <v>3.23638</v>
      </c>
    </row>
    <row r="91" spans="1:6" x14ac:dyDescent="0.25">
      <c r="A91" s="5">
        <v>1280</v>
      </c>
      <c r="B91" s="5">
        <v>1372.24</v>
      </c>
      <c r="C91" s="5">
        <v>310.39999999999998</v>
      </c>
      <c r="D91" s="5">
        <v>1004.76</v>
      </c>
      <c r="E91" s="5">
        <v>11.835000000000001</v>
      </c>
      <c r="F91" s="5">
        <v>3.2551000000000001</v>
      </c>
    </row>
    <row r="92" spans="1:6" x14ac:dyDescent="0.25">
      <c r="A92" s="5">
        <v>1300</v>
      </c>
      <c r="B92" s="5">
        <v>1395.97</v>
      </c>
      <c r="C92" s="5">
        <v>330.9</v>
      </c>
      <c r="D92" s="5">
        <v>1022.82</v>
      </c>
      <c r="E92" s="5">
        <v>11.275</v>
      </c>
      <c r="F92" s="5">
        <v>3.27345</v>
      </c>
    </row>
    <row r="93" spans="1:6" x14ac:dyDescent="0.25">
      <c r="A93" s="5">
        <v>1320</v>
      </c>
      <c r="B93" s="5">
        <v>1419.76</v>
      </c>
      <c r="C93" s="5">
        <v>352.5</v>
      </c>
      <c r="D93" s="5">
        <v>1040.8800000000001</v>
      </c>
      <c r="E93" s="5">
        <v>10.747</v>
      </c>
      <c r="F93" s="5">
        <v>3.2915999999999999</v>
      </c>
    </row>
    <row r="94" spans="1:6" x14ac:dyDescent="0.25">
      <c r="A94" s="5">
        <v>1340</v>
      </c>
      <c r="B94" s="5">
        <v>1443.6</v>
      </c>
      <c r="C94" s="5">
        <v>375.3</v>
      </c>
      <c r="D94" s="5">
        <v>1058.94</v>
      </c>
      <c r="E94" s="5">
        <v>10.247</v>
      </c>
      <c r="F94" s="5">
        <v>3.30959</v>
      </c>
    </row>
    <row r="95" spans="1:6" x14ac:dyDescent="0.25">
      <c r="A95" s="5">
        <v>1360</v>
      </c>
      <c r="B95" s="5">
        <v>1467.49</v>
      </c>
      <c r="C95" s="5">
        <v>399.1</v>
      </c>
      <c r="D95" s="5">
        <v>1077.0999999999999</v>
      </c>
      <c r="E95" s="5">
        <v>9.7799999999999994</v>
      </c>
      <c r="F95" s="5">
        <v>3.3272400000000002</v>
      </c>
    </row>
    <row r="96" spans="1:6" x14ac:dyDescent="0.25">
      <c r="A96" s="5">
        <v>1380</v>
      </c>
      <c r="B96" s="5">
        <v>1491.44</v>
      </c>
      <c r="C96" s="5">
        <v>424.2</v>
      </c>
      <c r="D96" s="5">
        <v>1095.26</v>
      </c>
      <c r="E96" s="5">
        <v>9.3369999999999997</v>
      </c>
      <c r="F96" s="5">
        <v>3.3447399999999998</v>
      </c>
    </row>
    <row r="97" spans="1:6" x14ac:dyDescent="0.25">
      <c r="A97" s="5">
        <v>1400</v>
      </c>
      <c r="B97" s="5">
        <v>1515.42</v>
      </c>
      <c r="C97" s="5">
        <v>450.5</v>
      </c>
      <c r="D97" s="5">
        <v>1113.52</v>
      </c>
      <c r="E97" s="5">
        <v>8.9190000000000005</v>
      </c>
      <c r="F97" s="5">
        <v>3.3620000000000001</v>
      </c>
    </row>
    <row r="98" spans="1:6" x14ac:dyDescent="0.25">
      <c r="A98" s="5">
        <v>1420</v>
      </c>
      <c r="B98" s="5">
        <v>1539.44</v>
      </c>
      <c r="C98" s="5">
        <v>478</v>
      </c>
      <c r="D98" s="5">
        <v>1131.77</v>
      </c>
      <c r="E98" s="5">
        <v>8.5259999999999998</v>
      </c>
      <c r="F98" s="5">
        <v>3.3790100000000001</v>
      </c>
    </row>
    <row r="99" spans="1:6" x14ac:dyDescent="0.25">
      <c r="A99" s="5">
        <v>1440</v>
      </c>
      <c r="B99" s="5">
        <v>1563.51</v>
      </c>
      <c r="C99" s="5">
        <v>506.9</v>
      </c>
      <c r="D99" s="5">
        <v>1150.1300000000001</v>
      </c>
      <c r="E99" s="5">
        <v>8.1530000000000005</v>
      </c>
      <c r="F99" s="5">
        <v>3.3958599999999999</v>
      </c>
    </row>
    <row r="100" spans="1:6" x14ac:dyDescent="0.25">
      <c r="A100" s="5">
        <v>1460</v>
      </c>
      <c r="B100" s="5">
        <v>1587.63</v>
      </c>
      <c r="C100" s="5">
        <v>537.1</v>
      </c>
      <c r="D100" s="5">
        <v>1168.49</v>
      </c>
      <c r="E100" s="5">
        <v>7.8010000000000002</v>
      </c>
      <c r="F100" s="5">
        <v>3.4124699999999999</v>
      </c>
    </row>
    <row r="101" spans="1:6" x14ac:dyDescent="0.25">
      <c r="A101" s="5">
        <v>1480</v>
      </c>
      <c r="B101" s="5">
        <v>1611.79</v>
      </c>
      <c r="C101" s="5">
        <v>568.79999999999995</v>
      </c>
      <c r="D101" s="5">
        <v>1186.95</v>
      </c>
      <c r="E101" s="5">
        <v>7.468</v>
      </c>
      <c r="F101" s="5">
        <v>3.4289200000000002</v>
      </c>
    </row>
    <row r="102" spans="1:6" x14ac:dyDescent="0.25">
      <c r="A102" s="5">
        <v>1500</v>
      </c>
      <c r="B102" s="5">
        <v>1635.97</v>
      </c>
      <c r="C102" s="5">
        <v>601.9</v>
      </c>
      <c r="D102" s="5">
        <v>1205.4100000000001</v>
      </c>
      <c r="E102" s="5">
        <v>7.1520000000000001</v>
      </c>
      <c r="F102" s="5">
        <v>3.44516</v>
      </c>
    </row>
    <row r="103" spans="1:6" x14ac:dyDescent="0.25">
      <c r="A103" s="5">
        <v>1520</v>
      </c>
      <c r="B103" s="5">
        <v>1660.23</v>
      </c>
      <c r="C103" s="5">
        <v>636.5</v>
      </c>
      <c r="D103" s="5">
        <v>1223.8699999999999</v>
      </c>
      <c r="E103" s="5">
        <v>6.8540000000000001</v>
      </c>
      <c r="F103" s="5">
        <v>3.4611999999999998</v>
      </c>
    </row>
    <row r="104" spans="1:6" x14ac:dyDescent="0.25">
      <c r="A104" s="5">
        <v>1540</v>
      </c>
      <c r="B104" s="5">
        <v>1684.51</v>
      </c>
      <c r="C104" s="5">
        <v>672.8</v>
      </c>
      <c r="D104" s="5">
        <v>1242.43</v>
      </c>
      <c r="E104" s="5">
        <v>6.569</v>
      </c>
      <c r="F104" s="5">
        <v>3.4771200000000002</v>
      </c>
    </row>
    <row r="105" spans="1:6" x14ac:dyDescent="0.25">
      <c r="A105" s="5">
        <v>1560</v>
      </c>
      <c r="B105" s="5">
        <v>1708.82</v>
      </c>
      <c r="C105" s="5">
        <v>710.5</v>
      </c>
      <c r="D105" s="5">
        <v>1260.99</v>
      </c>
      <c r="E105" s="5">
        <v>6.3010000000000002</v>
      </c>
      <c r="F105" s="5">
        <v>3.4927600000000001</v>
      </c>
    </row>
    <row r="106" spans="1:6" x14ac:dyDescent="0.25">
      <c r="A106" s="5">
        <v>1580</v>
      </c>
      <c r="B106" s="5">
        <v>1733.17</v>
      </c>
      <c r="C106" s="5">
        <v>750</v>
      </c>
      <c r="D106" s="5">
        <v>1279.6500000000001</v>
      </c>
      <c r="E106" s="5">
        <v>6.0460000000000003</v>
      </c>
      <c r="F106" s="5">
        <v>3.5082900000000001</v>
      </c>
    </row>
    <row r="107" spans="1:6" x14ac:dyDescent="0.25">
      <c r="A107" s="5">
        <v>1600</v>
      </c>
      <c r="B107" s="5">
        <v>1757.57</v>
      </c>
      <c r="C107" s="5">
        <v>791.2</v>
      </c>
      <c r="D107" s="5">
        <v>1298.3</v>
      </c>
      <c r="E107" s="5">
        <v>5.8040000000000003</v>
      </c>
      <c r="F107" s="5">
        <v>3.5236399999999999</v>
      </c>
    </row>
    <row r="108" spans="1:6" x14ac:dyDescent="0.25">
      <c r="A108" s="5">
        <v>1620</v>
      </c>
      <c r="B108" s="5">
        <v>1782</v>
      </c>
      <c r="C108" s="5">
        <v>834.1</v>
      </c>
      <c r="D108" s="5">
        <v>1316.96</v>
      </c>
      <c r="E108" s="5">
        <v>5.5739999999999998</v>
      </c>
      <c r="F108" s="5">
        <v>3.5387900000000001</v>
      </c>
    </row>
    <row r="109" spans="1:6" x14ac:dyDescent="0.25">
      <c r="A109" s="5">
        <v>1640</v>
      </c>
      <c r="B109" s="5">
        <v>1806.46</v>
      </c>
      <c r="C109" s="5">
        <v>878.9</v>
      </c>
      <c r="D109" s="5">
        <v>1335.72</v>
      </c>
      <c r="E109" s="5">
        <v>5.3550000000000004</v>
      </c>
      <c r="F109" s="5">
        <v>3.5538099999999999</v>
      </c>
    </row>
    <row r="110" spans="1:6" x14ac:dyDescent="0.25">
      <c r="A110" s="5">
        <v>1660</v>
      </c>
      <c r="B110" s="5">
        <v>1830.96</v>
      </c>
      <c r="C110" s="5">
        <v>925.6</v>
      </c>
      <c r="D110" s="5">
        <v>1354.48</v>
      </c>
      <c r="E110" s="5">
        <v>5.1470000000000002</v>
      </c>
      <c r="F110" s="5">
        <v>3.56867</v>
      </c>
    </row>
    <row r="111" spans="1:6" x14ac:dyDescent="0.25">
      <c r="A111" s="5">
        <v>1680</v>
      </c>
      <c r="B111" s="5">
        <v>1855.5</v>
      </c>
      <c r="C111" s="5">
        <v>974.2</v>
      </c>
      <c r="D111" s="5">
        <v>1373.24</v>
      </c>
      <c r="E111" s="5">
        <v>4.9489999999999998</v>
      </c>
      <c r="F111" s="5">
        <v>3.5833499999999998</v>
      </c>
    </row>
    <row r="112" spans="1:6" x14ac:dyDescent="0.25">
      <c r="A112" s="5">
        <v>1700</v>
      </c>
      <c r="B112" s="5">
        <v>1880.1</v>
      </c>
      <c r="C112" s="5">
        <v>1025</v>
      </c>
      <c r="D112" s="5">
        <v>1392.7</v>
      </c>
      <c r="E112" s="5">
        <v>4.7610000000000001</v>
      </c>
      <c r="F112" s="5">
        <v>3.5979000000000001</v>
      </c>
    </row>
    <row r="113" spans="1:6" x14ac:dyDescent="0.25">
      <c r="A113" s="5">
        <v>1750</v>
      </c>
      <c r="B113" s="5">
        <v>1941.6</v>
      </c>
      <c r="C113" s="5">
        <v>1161</v>
      </c>
      <c r="D113" s="5">
        <v>1439.8</v>
      </c>
      <c r="E113" s="5">
        <v>4.3280000000000003</v>
      </c>
      <c r="F113" s="5">
        <v>3.6335999999999999</v>
      </c>
    </row>
    <row r="114" spans="1:6" x14ac:dyDescent="0.25">
      <c r="A114" s="5">
        <v>1800</v>
      </c>
      <c r="B114" s="5">
        <v>2003.3</v>
      </c>
      <c r="C114" s="5">
        <v>1310</v>
      </c>
      <c r="D114" s="5">
        <v>1487.2</v>
      </c>
      <c r="E114" s="5">
        <v>3.9940000000000002</v>
      </c>
      <c r="F114" s="5">
        <v>3.6684000000000001</v>
      </c>
    </row>
    <row r="115" spans="1:6" x14ac:dyDescent="0.25">
      <c r="A115" s="5">
        <v>1850</v>
      </c>
      <c r="B115" s="5">
        <v>2065.3000000000002</v>
      </c>
      <c r="C115" s="5">
        <v>1475</v>
      </c>
      <c r="D115" s="5">
        <v>1534.9</v>
      </c>
      <c r="E115" s="5">
        <v>3.601</v>
      </c>
      <c r="F115" s="5">
        <v>3.7023000000000001</v>
      </c>
    </row>
    <row r="116" spans="1:6" x14ac:dyDescent="0.25">
      <c r="A116" s="5">
        <v>1900</v>
      </c>
      <c r="B116" s="5">
        <v>2127.4</v>
      </c>
      <c r="C116" s="5">
        <v>1655</v>
      </c>
      <c r="D116" s="5">
        <v>1582.6</v>
      </c>
      <c r="E116" s="5">
        <v>3.2949999999999999</v>
      </c>
      <c r="F116" s="5">
        <v>3.7353999999999998</v>
      </c>
    </row>
    <row r="117" spans="1:6" x14ac:dyDescent="0.25">
      <c r="A117" s="5">
        <v>1950</v>
      </c>
      <c r="B117" s="5">
        <v>2189.6999999999998</v>
      </c>
      <c r="C117" s="5">
        <v>1852</v>
      </c>
      <c r="D117" s="5">
        <v>1630.6</v>
      </c>
      <c r="E117" s="5">
        <v>3.0219999999999998</v>
      </c>
      <c r="F117" s="5">
        <v>3.7677</v>
      </c>
    </row>
    <row r="118" spans="1:6" x14ac:dyDescent="0.25">
      <c r="A118" s="5">
        <v>2000</v>
      </c>
      <c r="B118" s="5">
        <v>2252.1</v>
      </c>
      <c r="C118" s="5">
        <v>2068</v>
      </c>
      <c r="D118" s="5">
        <v>1678.7</v>
      </c>
      <c r="E118" s="5">
        <v>2.7759999999999998</v>
      </c>
      <c r="F118" s="5">
        <v>3.7993999999999999</v>
      </c>
    </row>
    <row r="119" spans="1:6" x14ac:dyDescent="0.25">
      <c r="A119" s="5">
        <v>2050</v>
      </c>
      <c r="B119" s="5">
        <v>2314.6</v>
      </c>
      <c r="C119" s="5">
        <v>2303</v>
      </c>
      <c r="D119" s="5">
        <v>1726.8</v>
      </c>
      <c r="E119" s="5">
        <v>2.5550000000000002</v>
      </c>
      <c r="F119" s="5">
        <v>3.8302999999999998</v>
      </c>
    </row>
    <row r="120" spans="1:6" x14ac:dyDescent="0.25">
      <c r="A120" s="5">
        <v>2100</v>
      </c>
      <c r="B120" s="5">
        <v>2377.6999999999998</v>
      </c>
      <c r="C120" s="5">
        <v>2559</v>
      </c>
      <c r="D120" s="5">
        <v>1775.3</v>
      </c>
      <c r="E120" s="5">
        <v>2.3559999999999999</v>
      </c>
      <c r="F120" s="5">
        <v>3.8605</v>
      </c>
    </row>
    <row r="121" spans="1:6" x14ac:dyDescent="0.25">
      <c r="A121" s="5">
        <v>2150</v>
      </c>
      <c r="B121" s="5">
        <v>2440.3000000000002</v>
      </c>
      <c r="C121" s="5">
        <v>2837</v>
      </c>
      <c r="D121" s="5">
        <v>1823.8</v>
      </c>
      <c r="E121" s="5">
        <v>2.1749999999999998</v>
      </c>
      <c r="F121" s="5">
        <v>3.8900999999999999</v>
      </c>
    </row>
    <row r="122" spans="1:6" x14ac:dyDescent="0.25">
      <c r="A122" s="5">
        <v>2200</v>
      </c>
      <c r="B122" s="5">
        <v>2503.1999999999998</v>
      </c>
      <c r="C122" s="5">
        <v>3138</v>
      </c>
      <c r="D122" s="5">
        <v>1872.4</v>
      </c>
      <c r="E122" s="5">
        <v>2.012</v>
      </c>
      <c r="F122" s="5">
        <v>3.9190999999999998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5"/>
  <sheetViews>
    <sheetView workbookViewId="0">
      <selection activeCell="E28" sqref="E28"/>
    </sheetView>
  </sheetViews>
  <sheetFormatPr defaultRowHeight="15" x14ac:dyDescent="0.25"/>
  <cols>
    <col min="7" max="7" width="3.85546875" customWidth="1"/>
    <col min="14" max="14" width="3.140625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3" t="s">
        <v>3</v>
      </c>
      <c r="E1" s="2" t="s">
        <v>4</v>
      </c>
      <c r="F1" s="3" t="s">
        <v>5</v>
      </c>
      <c r="H1" s="1" t="s">
        <v>0</v>
      </c>
      <c r="I1" s="1" t="s">
        <v>1</v>
      </c>
      <c r="J1" s="2" t="s">
        <v>2</v>
      </c>
      <c r="K1" s="3" t="s">
        <v>3</v>
      </c>
      <c r="L1" s="2" t="s">
        <v>4</v>
      </c>
      <c r="M1" s="3" t="s">
        <v>5</v>
      </c>
      <c r="O1" s="1" t="s">
        <v>0</v>
      </c>
      <c r="P1" s="1" t="s">
        <v>1</v>
      </c>
      <c r="Q1" s="2" t="s">
        <v>2</v>
      </c>
      <c r="R1" s="3" t="s">
        <v>3</v>
      </c>
      <c r="S1" s="2" t="s">
        <v>4</v>
      </c>
      <c r="T1" s="3" t="s">
        <v>5</v>
      </c>
    </row>
    <row r="2" spans="1:20" x14ac:dyDescent="0.25">
      <c r="A2" s="1" t="s">
        <v>6</v>
      </c>
      <c r="B2" s="1" t="s">
        <v>7</v>
      </c>
      <c r="C2" s="4"/>
      <c r="D2" s="1" t="s">
        <v>7</v>
      </c>
      <c r="E2" s="4"/>
      <c r="F2" s="1" t="s">
        <v>8</v>
      </c>
      <c r="H2" s="1" t="s">
        <v>6</v>
      </c>
      <c r="I2" s="1" t="s">
        <v>7</v>
      </c>
      <c r="J2" s="4"/>
      <c r="K2" s="1" t="s">
        <v>7</v>
      </c>
      <c r="L2" s="4"/>
      <c r="M2" s="1" t="s">
        <v>8</v>
      </c>
      <c r="O2" s="1" t="s">
        <v>6</v>
      </c>
      <c r="P2" s="1" t="s">
        <v>7</v>
      </c>
      <c r="Q2" s="4"/>
      <c r="R2" s="1" t="s">
        <v>7</v>
      </c>
      <c r="S2" s="4"/>
      <c r="T2" s="1" t="s">
        <v>8</v>
      </c>
    </row>
    <row r="3" spans="1:20" x14ac:dyDescent="0.25">
      <c r="A3" s="5">
        <v>200</v>
      </c>
      <c r="B3" s="5">
        <v>199.97</v>
      </c>
      <c r="C3" s="5">
        <v>0.33629999999999999</v>
      </c>
      <c r="D3" s="5">
        <v>142.56</v>
      </c>
      <c r="E3" s="5">
        <v>1707</v>
      </c>
      <c r="F3" s="5">
        <v>1.29559</v>
      </c>
      <c r="H3" s="5">
        <v>340</v>
      </c>
      <c r="I3" s="5">
        <v>340.42</v>
      </c>
      <c r="J3" s="5">
        <v>2.149</v>
      </c>
      <c r="K3" s="5">
        <v>242.82</v>
      </c>
      <c r="L3" s="5">
        <v>454.1</v>
      </c>
      <c r="M3" s="5">
        <v>1.8279000000000001</v>
      </c>
      <c r="O3" s="5">
        <v>540</v>
      </c>
      <c r="P3" s="5">
        <v>544.35</v>
      </c>
      <c r="Q3" s="5">
        <v>11.1</v>
      </c>
      <c r="R3" s="5">
        <v>389.34</v>
      </c>
      <c r="S3" s="5">
        <v>139.69999999999999</v>
      </c>
      <c r="T3" s="5">
        <v>2.2990599999999999</v>
      </c>
    </row>
    <row r="4" spans="1:20" x14ac:dyDescent="0.25">
      <c r="A4" s="5">
        <v>210</v>
      </c>
      <c r="B4" s="5">
        <v>209.97</v>
      </c>
      <c r="C4" s="5">
        <v>0.3987</v>
      </c>
      <c r="D4" s="5">
        <v>149.69</v>
      </c>
      <c r="E4" s="5">
        <v>1512</v>
      </c>
      <c r="F4" s="5">
        <v>1.3444400000000001</v>
      </c>
      <c r="H4" s="5">
        <v>350</v>
      </c>
      <c r="I4" s="5">
        <v>350.49</v>
      </c>
      <c r="J4" s="5">
        <v>2.379</v>
      </c>
      <c r="K4" s="5">
        <v>250.02</v>
      </c>
      <c r="L4" s="5">
        <v>422.2</v>
      </c>
      <c r="M4" s="5">
        <v>1.8570800000000001</v>
      </c>
      <c r="O4" s="5">
        <v>550</v>
      </c>
      <c r="P4" s="5">
        <v>555.74</v>
      </c>
      <c r="Q4" s="5">
        <v>11.86</v>
      </c>
      <c r="R4" s="5">
        <v>396.86</v>
      </c>
      <c r="S4" s="5">
        <v>133.1</v>
      </c>
      <c r="T4" s="5">
        <v>2.3180900000000002</v>
      </c>
    </row>
    <row r="5" spans="1:20" x14ac:dyDescent="0.25">
      <c r="A5" s="5">
        <v>220</v>
      </c>
      <c r="B5" s="5">
        <v>219.97</v>
      </c>
      <c r="C5" s="5">
        <v>0.46899999999999997</v>
      </c>
      <c r="D5" s="5">
        <v>156.82</v>
      </c>
      <c r="E5" s="5">
        <v>1346</v>
      </c>
      <c r="F5" s="5">
        <v>1.3910499999999999</v>
      </c>
      <c r="H5" s="5">
        <v>360</v>
      </c>
      <c r="I5" s="5">
        <v>360.58</v>
      </c>
      <c r="J5" s="5">
        <v>2.6259999999999999</v>
      </c>
      <c r="K5" s="5">
        <v>257.24</v>
      </c>
      <c r="L5" s="5">
        <v>393.4</v>
      </c>
      <c r="M5" s="5">
        <v>1.8854299999999999</v>
      </c>
      <c r="O5" s="5">
        <v>560</v>
      </c>
      <c r="P5" s="5">
        <v>565.16999999999996</v>
      </c>
      <c r="Q5" s="5">
        <v>12.66</v>
      </c>
      <c r="R5" s="5">
        <v>404.42</v>
      </c>
      <c r="S5" s="5">
        <v>127</v>
      </c>
      <c r="T5" s="5">
        <v>2.3368500000000001</v>
      </c>
    </row>
    <row r="6" spans="1:20" x14ac:dyDescent="0.25">
      <c r="A6" s="5">
        <v>230</v>
      </c>
      <c r="B6" s="5">
        <v>230.02</v>
      </c>
      <c r="C6" s="5">
        <v>0.54769999999999996</v>
      </c>
      <c r="D6" s="5">
        <v>164</v>
      </c>
      <c r="E6" s="5">
        <v>1205</v>
      </c>
      <c r="F6" s="5">
        <v>1.43557</v>
      </c>
      <c r="H6" s="5">
        <v>370</v>
      </c>
      <c r="I6" s="5">
        <v>370.67</v>
      </c>
      <c r="J6" s="5">
        <v>2.8919999999999999</v>
      </c>
      <c r="K6" s="5">
        <v>264.45999999999998</v>
      </c>
      <c r="L6" s="5">
        <v>367.2</v>
      </c>
      <c r="M6" s="5">
        <v>1.91313</v>
      </c>
      <c r="O6" s="5">
        <v>570</v>
      </c>
      <c r="P6" s="5">
        <v>575.59</v>
      </c>
      <c r="Q6" s="5">
        <v>13.5</v>
      </c>
      <c r="R6" s="5">
        <v>411.97</v>
      </c>
      <c r="S6" s="5">
        <v>121.2</v>
      </c>
      <c r="T6" s="5">
        <v>2.3553099999999998</v>
      </c>
    </row>
    <row r="7" spans="1:20" x14ac:dyDescent="0.25">
      <c r="A7" s="5">
        <v>240</v>
      </c>
      <c r="B7" s="5">
        <v>240.02</v>
      </c>
      <c r="C7" s="5">
        <v>0.63549999999999995</v>
      </c>
      <c r="D7" s="5">
        <v>171.13</v>
      </c>
      <c r="E7" s="5">
        <v>1084</v>
      </c>
      <c r="F7" s="5">
        <v>1.47824</v>
      </c>
      <c r="H7" s="5">
        <v>380</v>
      </c>
      <c r="I7" s="5">
        <v>380.77</v>
      </c>
      <c r="J7" s="5">
        <v>3.1760000000000002</v>
      </c>
      <c r="K7" s="5">
        <v>271.69</v>
      </c>
      <c r="L7" s="5">
        <v>343.4</v>
      </c>
      <c r="M7" s="5">
        <v>1.94001</v>
      </c>
      <c r="O7" s="5">
        <v>580</v>
      </c>
      <c r="P7" s="5">
        <v>586.04</v>
      </c>
      <c r="Q7" s="5">
        <v>14.38</v>
      </c>
      <c r="R7" s="5">
        <v>419.55</v>
      </c>
      <c r="S7" s="5">
        <v>115.7</v>
      </c>
      <c r="T7" s="5">
        <v>2.3734799999999998</v>
      </c>
    </row>
    <row r="8" spans="1:20" x14ac:dyDescent="0.25">
      <c r="A8" s="5">
        <v>250</v>
      </c>
      <c r="B8" s="5">
        <v>250.05</v>
      </c>
      <c r="C8" s="5">
        <v>0.7329</v>
      </c>
      <c r="D8" s="5">
        <v>178.28</v>
      </c>
      <c r="E8" s="5">
        <v>979</v>
      </c>
      <c r="F8" s="5">
        <v>1.5191699999999999</v>
      </c>
      <c r="H8" s="5">
        <v>390</v>
      </c>
      <c r="I8" s="5">
        <v>390.88</v>
      </c>
      <c r="J8" s="5">
        <v>3.4809999999999999</v>
      </c>
      <c r="K8" s="5">
        <v>278.93</v>
      </c>
      <c r="L8" s="5">
        <v>321.5</v>
      </c>
      <c r="M8" s="5">
        <v>1.9663299999999999</v>
      </c>
      <c r="O8" s="5">
        <v>590</v>
      </c>
      <c r="P8" s="5">
        <v>596.52</v>
      </c>
      <c r="Q8" s="5">
        <v>15.31</v>
      </c>
      <c r="R8" s="5">
        <v>427.15</v>
      </c>
      <c r="S8" s="5">
        <v>110.6</v>
      </c>
      <c r="T8" s="5">
        <v>2.3914</v>
      </c>
    </row>
    <row r="9" spans="1:20" x14ac:dyDescent="0.25">
      <c r="A9" s="5">
        <v>260</v>
      </c>
      <c r="B9" s="5">
        <v>260.08999999999997</v>
      </c>
      <c r="C9" s="5">
        <v>0.84050000000000002</v>
      </c>
      <c r="D9" s="5">
        <v>185.45</v>
      </c>
      <c r="E9" s="5">
        <v>887.8</v>
      </c>
      <c r="F9" s="5">
        <v>1.5584800000000001</v>
      </c>
      <c r="H9" s="5">
        <v>400</v>
      </c>
      <c r="I9" s="5">
        <v>400.98</v>
      </c>
      <c r="J9" s="5">
        <v>3.806</v>
      </c>
      <c r="K9" s="5">
        <v>286.16000000000003</v>
      </c>
      <c r="L9" s="5">
        <v>301.60000000000002</v>
      </c>
      <c r="M9" s="5">
        <v>1.99194</v>
      </c>
      <c r="O9" s="5">
        <v>600</v>
      </c>
      <c r="P9" s="5">
        <v>607.02</v>
      </c>
      <c r="Q9" s="5">
        <v>16.28</v>
      </c>
      <c r="R9" s="5">
        <v>434.78</v>
      </c>
      <c r="S9" s="5">
        <v>105.8</v>
      </c>
      <c r="T9" s="5">
        <v>2.4090199999999999</v>
      </c>
    </row>
    <row r="10" spans="1:20" x14ac:dyDescent="0.25">
      <c r="A10" s="5">
        <v>270</v>
      </c>
      <c r="B10" s="5">
        <v>270.11</v>
      </c>
      <c r="C10" s="5">
        <v>0.95899999999999996</v>
      </c>
      <c r="D10" s="5">
        <v>192.6</v>
      </c>
      <c r="E10" s="5">
        <v>808</v>
      </c>
      <c r="F10" s="5">
        <v>1.5963400000000001</v>
      </c>
      <c r="H10" s="5">
        <v>410</v>
      </c>
      <c r="I10" s="5">
        <v>411.12</v>
      </c>
      <c r="J10" s="5">
        <v>4.1529999999999996</v>
      </c>
      <c r="K10" s="5">
        <v>293.43</v>
      </c>
      <c r="L10" s="5">
        <v>283.3</v>
      </c>
      <c r="M10" s="5">
        <v>2.0169899999999998</v>
      </c>
      <c r="O10" s="5">
        <v>610</v>
      </c>
      <c r="P10" s="5">
        <v>617.53</v>
      </c>
      <c r="Q10" s="5">
        <v>17.3</v>
      </c>
      <c r="R10" s="5">
        <v>442.42</v>
      </c>
      <c r="S10" s="5">
        <v>101.2</v>
      </c>
      <c r="T10" s="5">
        <v>2.4264399999999999</v>
      </c>
    </row>
    <row r="11" spans="1:20" x14ac:dyDescent="0.25">
      <c r="A11" s="5">
        <v>280</v>
      </c>
      <c r="B11" s="5">
        <v>280.13</v>
      </c>
      <c r="C11" s="5">
        <v>1.0889</v>
      </c>
      <c r="D11" s="5">
        <v>199.75</v>
      </c>
      <c r="E11" s="5">
        <v>738</v>
      </c>
      <c r="F11" s="5">
        <v>1.63279</v>
      </c>
      <c r="H11" s="5">
        <v>420</v>
      </c>
      <c r="I11" s="5">
        <v>421.26</v>
      </c>
      <c r="J11" s="5">
        <v>4.5220000000000002</v>
      </c>
      <c r="K11" s="5">
        <v>300.69</v>
      </c>
      <c r="L11" s="5">
        <v>266.60000000000002</v>
      </c>
      <c r="M11" s="5">
        <v>2.04142</v>
      </c>
      <c r="O11" s="5">
        <v>620</v>
      </c>
      <c r="P11" s="5">
        <v>628.07000000000005</v>
      </c>
      <c r="Q11" s="5">
        <v>18.36</v>
      </c>
      <c r="R11" s="5">
        <v>450.09</v>
      </c>
      <c r="S11" s="5">
        <v>96.92</v>
      </c>
      <c r="T11" s="5">
        <v>2.4435600000000002</v>
      </c>
    </row>
    <row r="12" spans="1:20" x14ac:dyDescent="0.25">
      <c r="A12" s="5">
        <v>285</v>
      </c>
      <c r="B12" s="5">
        <v>285.14</v>
      </c>
      <c r="C12" s="5">
        <v>1.1584000000000001</v>
      </c>
      <c r="D12" s="5">
        <v>203.33</v>
      </c>
      <c r="E12" s="5">
        <v>706.1</v>
      </c>
      <c r="F12" s="5">
        <v>1.65055</v>
      </c>
      <c r="H12" s="5">
        <v>430</v>
      </c>
      <c r="I12" s="5">
        <v>431.43</v>
      </c>
      <c r="J12" s="5">
        <v>4.915</v>
      </c>
      <c r="K12" s="5">
        <v>307.99</v>
      </c>
      <c r="L12" s="5">
        <v>251.1</v>
      </c>
      <c r="M12" s="5">
        <v>2.0653299999999999</v>
      </c>
      <c r="O12" s="5">
        <v>630</v>
      </c>
      <c r="P12" s="5">
        <v>638.63</v>
      </c>
      <c r="Q12" s="5">
        <v>19.84</v>
      </c>
      <c r="R12" s="5">
        <v>457.78</v>
      </c>
      <c r="S12" s="5">
        <v>92.84</v>
      </c>
      <c r="T12" s="5">
        <v>2.46048</v>
      </c>
    </row>
    <row r="13" spans="1:20" x14ac:dyDescent="0.25">
      <c r="A13" s="5">
        <v>290</v>
      </c>
      <c r="B13" s="5">
        <v>290.16000000000003</v>
      </c>
      <c r="C13" s="5">
        <v>1.2311000000000001</v>
      </c>
      <c r="D13" s="5">
        <v>206.91</v>
      </c>
      <c r="E13" s="5">
        <v>676.1</v>
      </c>
      <c r="F13" s="5">
        <v>1.6680200000000001</v>
      </c>
      <c r="H13" s="5">
        <v>440</v>
      </c>
      <c r="I13" s="5">
        <v>441.61</v>
      </c>
      <c r="J13" s="5">
        <v>5.3319999999999999</v>
      </c>
      <c r="K13" s="5">
        <v>315.3</v>
      </c>
      <c r="L13" s="5">
        <v>236.8</v>
      </c>
      <c r="M13" s="5">
        <v>2.0886999999999998</v>
      </c>
      <c r="O13" s="5">
        <v>640</v>
      </c>
      <c r="P13" s="5">
        <v>649.22</v>
      </c>
      <c r="Q13" s="5">
        <v>20.64</v>
      </c>
      <c r="R13" s="5">
        <v>465.5</v>
      </c>
      <c r="S13" s="5">
        <v>88.99</v>
      </c>
      <c r="T13" s="5">
        <v>2.47716</v>
      </c>
    </row>
    <row r="14" spans="1:20" x14ac:dyDescent="0.25">
      <c r="A14" s="5">
        <v>295</v>
      </c>
      <c r="B14" s="5">
        <v>295.17</v>
      </c>
      <c r="C14" s="5">
        <v>1.3068</v>
      </c>
      <c r="D14" s="5">
        <v>210.49</v>
      </c>
      <c r="E14" s="5">
        <v>647.9</v>
      </c>
      <c r="F14" s="5">
        <v>1.6851499999999999</v>
      </c>
      <c r="H14" s="5">
        <v>450</v>
      </c>
      <c r="I14" s="5">
        <v>451.8</v>
      </c>
      <c r="J14" s="5">
        <v>5.7750000000000004</v>
      </c>
      <c r="K14" s="5">
        <v>322.62</v>
      </c>
      <c r="L14" s="5">
        <v>223.6</v>
      </c>
      <c r="M14" s="5">
        <v>2.1116100000000002</v>
      </c>
      <c r="O14" s="5">
        <v>650</v>
      </c>
      <c r="P14" s="5">
        <v>659.84</v>
      </c>
      <c r="Q14" s="5">
        <v>21.86</v>
      </c>
      <c r="R14" s="5">
        <v>473.25</v>
      </c>
      <c r="S14" s="5">
        <v>85.34</v>
      </c>
      <c r="T14" s="5">
        <v>2.4936400000000001</v>
      </c>
    </row>
    <row r="15" spans="1:20" x14ac:dyDescent="0.25">
      <c r="A15" s="5">
        <v>298</v>
      </c>
      <c r="B15" s="5">
        <v>298.18</v>
      </c>
      <c r="C15" s="5">
        <v>1.3543000000000001</v>
      </c>
      <c r="D15" s="5">
        <v>212.64</v>
      </c>
      <c r="E15" s="5">
        <v>631.9</v>
      </c>
      <c r="F15" s="5">
        <v>1.6952799999999999</v>
      </c>
      <c r="H15" s="5">
        <v>460</v>
      </c>
      <c r="I15" s="5">
        <v>462.02</v>
      </c>
      <c r="J15" s="5">
        <v>6.2450000000000001</v>
      </c>
      <c r="K15" s="5">
        <v>329.97</v>
      </c>
      <c r="L15" s="5">
        <v>211.4</v>
      </c>
      <c r="M15" s="5">
        <v>2.1340699999999999</v>
      </c>
      <c r="O15" s="5">
        <v>660</v>
      </c>
      <c r="P15" s="5">
        <v>670.47</v>
      </c>
      <c r="Q15" s="5">
        <v>23.13</v>
      </c>
      <c r="R15" s="5">
        <v>481.01</v>
      </c>
      <c r="S15" s="5">
        <v>81.89</v>
      </c>
      <c r="T15" s="5">
        <v>2.5098500000000001</v>
      </c>
    </row>
    <row r="16" spans="1:20" x14ac:dyDescent="0.25">
      <c r="A16" s="5">
        <v>300</v>
      </c>
      <c r="B16" s="5">
        <v>300.19</v>
      </c>
      <c r="C16" s="5">
        <v>1.3859999999999999</v>
      </c>
      <c r="D16" s="5">
        <v>214.07</v>
      </c>
      <c r="E16" s="5">
        <v>621.20000000000005</v>
      </c>
      <c r="F16" s="5">
        <v>1.7020299999999999</v>
      </c>
      <c r="H16" s="5">
        <v>470</v>
      </c>
      <c r="I16" s="5">
        <v>472.24</v>
      </c>
      <c r="J16" s="5">
        <v>6.742</v>
      </c>
      <c r="K16" s="5">
        <v>337.32</v>
      </c>
      <c r="L16" s="5">
        <v>200.1</v>
      </c>
      <c r="M16" s="5">
        <v>2.15604</v>
      </c>
      <c r="O16" s="5">
        <v>670</v>
      </c>
      <c r="P16" s="5">
        <v>681.14</v>
      </c>
      <c r="Q16" s="5">
        <v>24.46</v>
      </c>
      <c r="R16" s="5">
        <v>488.81</v>
      </c>
      <c r="S16" s="5">
        <v>78.61</v>
      </c>
      <c r="T16" s="5">
        <v>2.52589</v>
      </c>
    </row>
    <row r="17" spans="1:20" x14ac:dyDescent="0.25">
      <c r="A17" s="5">
        <v>305</v>
      </c>
      <c r="B17" s="5">
        <v>305.22000000000003</v>
      </c>
      <c r="C17" s="5">
        <v>1.4685999999999999</v>
      </c>
      <c r="D17" s="5">
        <v>217.67</v>
      </c>
      <c r="E17" s="5">
        <v>596</v>
      </c>
      <c r="F17" s="5">
        <v>1.71865</v>
      </c>
      <c r="H17" s="5">
        <v>480</v>
      </c>
      <c r="I17" s="5">
        <v>482.49</v>
      </c>
      <c r="J17" s="5">
        <v>7.2679999999999998</v>
      </c>
      <c r="K17" s="5">
        <v>344.7</v>
      </c>
      <c r="L17" s="5">
        <v>189.5</v>
      </c>
      <c r="M17" s="5">
        <v>2.1776</v>
      </c>
      <c r="O17" s="5">
        <v>680</v>
      </c>
      <c r="P17" s="5">
        <v>691.82</v>
      </c>
      <c r="Q17" s="5">
        <v>25.85</v>
      </c>
      <c r="R17" s="5">
        <v>496.62</v>
      </c>
      <c r="S17" s="5">
        <v>75.5</v>
      </c>
      <c r="T17" s="5">
        <v>2.54175</v>
      </c>
    </row>
    <row r="18" spans="1:20" x14ac:dyDescent="0.25">
      <c r="A18" s="5">
        <v>310</v>
      </c>
      <c r="B18" s="5">
        <v>310.24</v>
      </c>
      <c r="C18" s="5">
        <v>1.5546</v>
      </c>
      <c r="D18" s="5">
        <v>221.25</v>
      </c>
      <c r="E18" s="5">
        <v>572.29999999999995</v>
      </c>
      <c r="F18" s="5">
        <v>1.73498</v>
      </c>
      <c r="H18" s="5">
        <v>490</v>
      </c>
      <c r="I18" s="5">
        <v>492.74</v>
      </c>
      <c r="J18" s="5">
        <v>7.8239999999999998</v>
      </c>
      <c r="K18" s="5">
        <v>352.08</v>
      </c>
      <c r="L18" s="5">
        <v>179.7</v>
      </c>
      <c r="M18" s="5">
        <v>2.19876</v>
      </c>
      <c r="O18" s="5">
        <v>690</v>
      </c>
      <c r="P18" s="5">
        <v>702.52</v>
      </c>
      <c r="Q18" s="5">
        <v>27.29</v>
      </c>
      <c r="R18" s="5">
        <v>504.45</v>
      </c>
      <c r="S18" s="5">
        <v>72.56</v>
      </c>
      <c r="T18" s="5">
        <v>2.5573100000000002</v>
      </c>
    </row>
    <row r="19" spans="1:20" x14ac:dyDescent="0.25">
      <c r="A19" s="5">
        <v>315</v>
      </c>
      <c r="B19" s="5">
        <v>315.27</v>
      </c>
      <c r="C19" s="5">
        <v>1.6442000000000001</v>
      </c>
      <c r="D19" s="5">
        <v>224.85</v>
      </c>
      <c r="E19" s="5">
        <v>549.79999999999995</v>
      </c>
      <c r="F19" s="5">
        <v>1.7510600000000001</v>
      </c>
      <c r="H19" s="5">
        <v>500</v>
      </c>
      <c r="I19" s="5">
        <v>503.02</v>
      </c>
      <c r="J19" s="5">
        <v>8.4109999999999996</v>
      </c>
      <c r="K19" s="5">
        <v>359.49</v>
      </c>
      <c r="L19" s="5">
        <v>170.6</v>
      </c>
      <c r="M19" s="5">
        <v>2.2195200000000002</v>
      </c>
      <c r="O19" s="5">
        <v>700</v>
      </c>
      <c r="P19" s="5">
        <v>713.27</v>
      </c>
      <c r="Q19" s="5">
        <v>28.8</v>
      </c>
      <c r="R19" s="5">
        <v>512.33000000000004</v>
      </c>
      <c r="S19" s="5">
        <v>69.760000000000005</v>
      </c>
      <c r="T19" s="5">
        <v>2.5727699999999998</v>
      </c>
    </row>
    <row r="20" spans="1:20" x14ac:dyDescent="0.25">
      <c r="A20" s="5">
        <v>320</v>
      </c>
      <c r="B20" s="5">
        <v>320.29000000000002</v>
      </c>
      <c r="C20" s="5">
        <v>1.7375</v>
      </c>
      <c r="D20" s="5">
        <v>228.42</v>
      </c>
      <c r="E20" s="5">
        <v>528.6</v>
      </c>
      <c r="F20" s="5">
        <v>1.7668999999999999</v>
      </c>
      <c r="H20" s="5">
        <v>510</v>
      </c>
      <c r="I20" s="5">
        <v>513.32000000000005</v>
      </c>
      <c r="J20" s="5">
        <v>9.0310000000000006</v>
      </c>
      <c r="K20" s="5">
        <v>366.92</v>
      </c>
      <c r="L20" s="5">
        <v>162.1</v>
      </c>
      <c r="M20" s="5">
        <v>2.2399300000000002</v>
      </c>
      <c r="O20" s="5">
        <v>710</v>
      </c>
      <c r="P20" s="5">
        <v>724.04</v>
      </c>
      <c r="Q20" s="5">
        <v>30.38</v>
      </c>
      <c r="R20" s="5">
        <v>520.23</v>
      </c>
      <c r="S20" s="5">
        <v>67.069999999999993</v>
      </c>
      <c r="T20" s="5">
        <v>2.5880999999999998</v>
      </c>
    </row>
    <row r="21" spans="1:20" x14ac:dyDescent="0.25">
      <c r="A21" s="5">
        <v>325</v>
      </c>
      <c r="B21" s="5">
        <v>325.31</v>
      </c>
      <c r="C21" s="5">
        <v>1.8345</v>
      </c>
      <c r="D21" s="5">
        <v>232.02</v>
      </c>
      <c r="E21" s="5">
        <v>508.4</v>
      </c>
      <c r="F21" s="5">
        <v>1.7824899999999999</v>
      </c>
      <c r="H21" s="5">
        <v>520</v>
      </c>
      <c r="I21" s="5">
        <v>523.63</v>
      </c>
      <c r="J21" s="5">
        <v>9.6839999999999993</v>
      </c>
      <c r="K21" s="5">
        <v>374.36</v>
      </c>
      <c r="L21" s="5">
        <v>154.1</v>
      </c>
      <c r="M21" s="5">
        <v>2.25997</v>
      </c>
      <c r="O21" s="5">
        <v>720</v>
      </c>
      <c r="P21" s="5">
        <v>734.82</v>
      </c>
      <c r="Q21" s="5">
        <v>32.020000000000003</v>
      </c>
      <c r="R21" s="5">
        <v>528.14</v>
      </c>
      <c r="S21" s="5">
        <v>64.53</v>
      </c>
      <c r="T21" s="5">
        <v>2.6031900000000001</v>
      </c>
    </row>
    <row r="22" spans="1:20" x14ac:dyDescent="0.25">
      <c r="A22" s="5">
        <v>330</v>
      </c>
      <c r="B22" s="5">
        <v>330.34</v>
      </c>
      <c r="C22" s="5">
        <v>1.9352</v>
      </c>
      <c r="D22" s="5">
        <v>235.61</v>
      </c>
      <c r="E22" s="5">
        <v>489.4</v>
      </c>
      <c r="F22" s="5">
        <v>1.79783</v>
      </c>
      <c r="H22" s="5">
        <v>530</v>
      </c>
      <c r="I22" s="5">
        <v>533.98</v>
      </c>
      <c r="J22" s="5">
        <v>10.37</v>
      </c>
      <c r="K22" s="5">
        <v>381.84</v>
      </c>
      <c r="L22" s="5">
        <v>146.69999999999999</v>
      </c>
      <c r="M22" s="5">
        <v>2.2796699999999999</v>
      </c>
      <c r="O22" s="5">
        <v>730</v>
      </c>
      <c r="P22" s="5">
        <v>745.62</v>
      </c>
      <c r="Q22" s="5">
        <v>33.72</v>
      </c>
      <c r="R22" s="5">
        <v>536.07000000000005</v>
      </c>
      <c r="S22" s="5">
        <v>62.13</v>
      </c>
      <c r="T22" s="5">
        <v>2.6180300000000001</v>
      </c>
    </row>
    <row r="24" spans="1:20" x14ac:dyDescent="0.25">
      <c r="A24" s="1" t="s">
        <v>0</v>
      </c>
      <c r="B24" s="1" t="s">
        <v>1</v>
      </c>
      <c r="C24" s="2" t="s">
        <v>2</v>
      </c>
      <c r="D24" s="3" t="s">
        <v>3</v>
      </c>
      <c r="E24" s="2" t="s">
        <v>4</v>
      </c>
      <c r="F24" s="3" t="s">
        <v>5</v>
      </c>
      <c r="H24" s="1" t="s">
        <v>0</v>
      </c>
      <c r="I24" s="1" t="s">
        <v>1</v>
      </c>
      <c r="J24" s="2" t="s">
        <v>2</v>
      </c>
      <c r="K24" s="3" t="s">
        <v>3</v>
      </c>
      <c r="L24" s="2" t="s">
        <v>4</v>
      </c>
      <c r="M24" s="3" t="s">
        <v>5</v>
      </c>
      <c r="O24" s="1" t="s">
        <v>0</v>
      </c>
      <c r="P24" s="1" t="s">
        <v>1</v>
      </c>
      <c r="Q24" s="2" t="s">
        <v>2</v>
      </c>
      <c r="R24" s="3" t="s">
        <v>3</v>
      </c>
      <c r="S24" s="2" t="s">
        <v>4</v>
      </c>
      <c r="T24" s="3" t="s">
        <v>5</v>
      </c>
    </row>
    <row r="25" spans="1:20" x14ac:dyDescent="0.25">
      <c r="A25" s="1" t="s">
        <v>6</v>
      </c>
      <c r="B25" s="1" t="s">
        <v>7</v>
      </c>
      <c r="C25" s="4"/>
      <c r="D25" s="1" t="s">
        <v>7</v>
      </c>
      <c r="E25" s="4"/>
      <c r="F25" s="1" t="s">
        <v>8</v>
      </c>
      <c r="H25" s="1" t="s">
        <v>6</v>
      </c>
      <c r="I25" s="1" t="s">
        <v>7</v>
      </c>
      <c r="J25" s="4"/>
      <c r="K25" s="1" t="s">
        <v>7</v>
      </c>
      <c r="L25" s="4"/>
      <c r="M25" s="1" t="s">
        <v>8</v>
      </c>
      <c r="O25" s="1" t="s">
        <v>6</v>
      </c>
      <c r="P25" s="1" t="s">
        <v>7</v>
      </c>
      <c r="Q25" s="4"/>
      <c r="R25" s="1" t="s">
        <v>7</v>
      </c>
      <c r="S25" s="4"/>
      <c r="T25" s="1" t="s">
        <v>8</v>
      </c>
    </row>
    <row r="26" spans="1:20" x14ac:dyDescent="0.25">
      <c r="A26" s="5">
        <v>740</v>
      </c>
      <c r="B26" s="5">
        <v>756.44</v>
      </c>
      <c r="C26" s="5">
        <v>35.5</v>
      </c>
      <c r="D26" s="5">
        <v>544.02</v>
      </c>
      <c r="E26" s="5">
        <v>59.82</v>
      </c>
      <c r="F26" s="5">
        <v>2.6328</v>
      </c>
      <c r="H26" s="5">
        <v>1120</v>
      </c>
      <c r="I26" s="5">
        <v>1184.28</v>
      </c>
      <c r="J26" s="5">
        <v>179.7</v>
      </c>
      <c r="K26" s="5">
        <v>862.79</v>
      </c>
      <c r="L26" s="5">
        <v>17.885999999999999</v>
      </c>
      <c r="M26" s="5">
        <v>3.0982500000000002</v>
      </c>
      <c r="O26" s="5">
        <v>1520</v>
      </c>
      <c r="P26" s="5">
        <v>1660.23</v>
      </c>
      <c r="Q26" s="5">
        <v>636.5</v>
      </c>
      <c r="R26" s="5">
        <v>1223.8699999999999</v>
      </c>
      <c r="S26" s="5">
        <v>6.8540000000000001</v>
      </c>
      <c r="T26" s="5">
        <v>3.4611999999999998</v>
      </c>
    </row>
    <row r="27" spans="1:20" x14ac:dyDescent="0.25">
      <c r="A27" s="5">
        <v>750</v>
      </c>
      <c r="B27" s="5">
        <v>767.29</v>
      </c>
      <c r="C27" s="5">
        <v>37.35</v>
      </c>
      <c r="D27" s="5">
        <v>551.99</v>
      </c>
      <c r="E27" s="5">
        <v>57.63</v>
      </c>
      <c r="F27" s="5">
        <v>2.64737</v>
      </c>
      <c r="H27" s="5">
        <v>1140</v>
      </c>
      <c r="I27" s="5">
        <v>1207.57</v>
      </c>
      <c r="J27" s="5">
        <v>193.1</v>
      </c>
      <c r="K27" s="5">
        <v>880.35</v>
      </c>
      <c r="L27" s="5">
        <v>16.946000000000002</v>
      </c>
      <c r="M27" s="5">
        <v>3.11883</v>
      </c>
      <c r="O27" s="5">
        <v>1540</v>
      </c>
      <c r="P27" s="5">
        <v>1684.51</v>
      </c>
      <c r="Q27" s="5">
        <v>672.8</v>
      </c>
      <c r="R27" s="5">
        <v>1242.43</v>
      </c>
      <c r="S27" s="5">
        <v>6.569</v>
      </c>
      <c r="T27" s="5">
        <v>3.4771200000000002</v>
      </c>
    </row>
    <row r="28" spans="1:20" x14ac:dyDescent="0.25">
      <c r="A28" s="5">
        <v>760</v>
      </c>
      <c r="B28" s="5">
        <v>778.18</v>
      </c>
      <c r="C28" s="5">
        <v>39.270000000000003</v>
      </c>
      <c r="D28" s="5">
        <v>560.01</v>
      </c>
      <c r="E28" s="5">
        <v>55.54</v>
      </c>
      <c r="F28" s="5">
        <v>2.6617600000000001</v>
      </c>
      <c r="H28" s="5">
        <v>1160</v>
      </c>
      <c r="I28" s="5">
        <v>1230.92</v>
      </c>
      <c r="J28" s="5">
        <v>207.2</v>
      </c>
      <c r="K28" s="5">
        <v>897.91</v>
      </c>
      <c r="L28" s="5">
        <v>16.064</v>
      </c>
      <c r="M28" s="5">
        <v>3.13916</v>
      </c>
      <c r="O28" s="5">
        <v>1560</v>
      </c>
      <c r="P28" s="5">
        <v>1708.82</v>
      </c>
      <c r="Q28" s="5">
        <v>710.5</v>
      </c>
      <c r="R28" s="5">
        <v>1260.99</v>
      </c>
      <c r="S28" s="5">
        <v>6.3010000000000002</v>
      </c>
      <c r="T28" s="5">
        <v>3.4927600000000001</v>
      </c>
    </row>
    <row r="29" spans="1:20" x14ac:dyDescent="0.25">
      <c r="A29" s="5">
        <v>780</v>
      </c>
      <c r="B29" s="5">
        <v>800.03</v>
      </c>
      <c r="C29" s="5">
        <v>43.35</v>
      </c>
      <c r="D29" s="5">
        <v>576.12</v>
      </c>
      <c r="E29" s="5">
        <v>51.64</v>
      </c>
      <c r="F29" s="5">
        <v>2.6901299999999999</v>
      </c>
      <c r="H29" s="5">
        <v>1180</v>
      </c>
      <c r="I29" s="5">
        <v>1254.3399999999999</v>
      </c>
      <c r="J29" s="5">
        <v>222.2</v>
      </c>
      <c r="K29" s="5">
        <v>915.57</v>
      </c>
      <c r="L29" s="5">
        <v>15.241</v>
      </c>
      <c r="M29" s="5">
        <v>3.15916</v>
      </c>
      <c r="O29" s="5">
        <v>1580</v>
      </c>
      <c r="P29" s="5">
        <v>1733.17</v>
      </c>
      <c r="Q29" s="5">
        <v>750</v>
      </c>
      <c r="R29" s="5">
        <v>1279.6500000000001</v>
      </c>
      <c r="S29" s="5">
        <v>6.0460000000000003</v>
      </c>
      <c r="T29" s="5">
        <v>3.5082900000000001</v>
      </c>
    </row>
    <row r="30" spans="1:20" x14ac:dyDescent="0.25">
      <c r="A30" s="5">
        <v>800</v>
      </c>
      <c r="B30" s="5">
        <v>821.95</v>
      </c>
      <c r="C30" s="5">
        <v>47.75</v>
      </c>
      <c r="D30" s="5">
        <v>592.29999999999995</v>
      </c>
      <c r="E30" s="5">
        <v>48.08</v>
      </c>
      <c r="F30" s="5">
        <v>2.71787</v>
      </c>
      <c r="H30" s="5">
        <v>1200</v>
      </c>
      <c r="I30" s="5">
        <v>1277.79</v>
      </c>
      <c r="J30" s="5">
        <v>238</v>
      </c>
      <c r="K30" s="5">
        <v>933.33</v>
      </c>
      <c r="L30" s="5">
        <v>14.47</v>
      </c>
      <c r="M30" s="5">
        <v>3.1788799999999999</v>
      </c>
      <c r="O30" s="5">
        <v>1600</v>
      </c>
      <c r="P30" s="5">
        <v>1757.57</v>
      </c>
      <c r="Q30" s="5">
        <v>791.2</v>
      </c>
      <c r="R30" s="5">
        <v>1298.3</v>
      </c>
      <c r="S30" s="5">
        <v>5.8040000000000003</v>
      </c>
      <c r="T30" s="5">
        <v>3.5236399999999999</v>
      </c>
    </row>
    <row r="31" spans="1:20" x14ac:dyDescent="0.25">
      <c r="A31" s="5">
        <v>820</v>
      </c>
      <c r="B31" s="5">
        <v>843.98</v>
      </c>
      <c r="C31" s="5">
        <v>52.59</v>
      </c>
      <c r="D31" s="5">
        <v>608.59</v>
      </c>
      <c r="E31" s="5">
        <v>44.84</v>
      </c>
      <c r="F31" s="5">
        <v>2.7450399999999999</v>
      </c>
      <c r="H31" s="5">
        <v>1220</v>
      </c>
      <c r="I31" s="5">
        <v>1301.31</v>
      </c>
      <c r="J31" s="5">
        <v>254.7</v>
      </c>
      <c r="K31" s="5">
        <v>951.09</v>
      </c>
      <c r="L31" s="5">
        <v>13.747</v>
      </c>
      <c r="M31" s="5">
        <v>3.19834</v>
      </c>
      <c r="O31" s="5">
        <v>1620</v>
      </c>
      <c r="P31" s="5">
        <v>1782</v>
      </c>
      <c r="Q31" s="5">
        <v>834.1</v>
      </c>
      <c r="R31" s="5">
        <v>1316.96</v>
      </c>
      <c r="S31" s="5">
        <v>5.5739999999999998</v>
      </c>
      <c r="T31" s="5">
        <v>3.5387900000000001</v>
      </c>
    </row>
    <row r="32" spans="1:20" x14ac:dyDescent="0.25">
      <c r="A32" s="5">
        <v>840</v>
      </c>
      <c r="B32" s="5">
        <v>866.08</v>
      </c>
      <c r="C32" s="5">
        <v>57.6</v>
      </c>
      <c r="D32" s="5">
        <v>624.95000000000005</v>
      </c>
      <c r="E32" s="5">
        <v>41.85</v>
      </c>
      <c r="F32" s="5">
        <v>2.7717000000000001</v>
      </c>
      <c r="H32" s="5">
        <v>1240</v>
      </c>
      <c r="I32" s="5">
        <v>1324.93</v>
      </c>
      <c r="J32" s="5">
        <v>272.3</v>
      </c>
      <c r="K32" s="5">
        <v>968.95</v>
      </c>
      <c r="L32" s="5">
        <v>13.069000000000001</v>
      </c>
      <c r="M32" s="5">
        <v>3.2175099999999999</v>
      </c>
      <c r="O32" s="5">
        <v>1640</v>
      </c>
      <c r="P32" s="5">
        <v>1806.46</v>
      </c>
      <c r="Q32" s="5">
        <v>878.9</v>
      </c>
      <c r="R32" s="5">
        <v>1335.72</v>
      </c>
      <c r="S32" s="5">
        <v>5.3550000000000004</v>
      </c>
      <c r="T32" s="5">
        <v>3.5538099999999999</v>
      </c>
    </row>
    <row r="33" spans="1:20" x14ac:dyDescent="0.25">
      <c r="A33" s="5">
        <v>860</v>
      </c>
      <c r="B33" s="5">
        <v>888.27</v>
      </c>
      <c r="C33" s="5">
        <v>63.09</v>
      </c>
      <c r="D33" s="5">
        <v>641.4</v>
      </c>
      <c r="E33" s="5">
        <v>39.119999999999997</v>
      </c>
      <c r="F33" s="5">
        <v>2.7978299999999998</v>
      </c>
      <c r="H33" s="5">
        <v>1260</v>
      </c>
      <c r="I33" s="5">
        <v>1348.55</v>
      </c>
      <c r="J33" s="5">
        <v>290.8</v>
      </c>
      <c r="K33" s="5">
        <v>986.9</v>
      </c>
      <c r="L33" s="5">
        <v>12.435</v>
      </c>
      <c r="M33" s="5">
        <v>3.23638</v>
      </c>
      <c r="O33" s="5">
        <v>1660</v>
      </c>
      <c r="P33" s="5">
        <v>1830.96</v>
      </c>
      <c r="Q33" s="5">
        <v>925.6</v>
      </c>
      <c r="R33" s="5">
        <v>1354.48</v>
      </c>
      <c r="S33" s="5">
        <v>5.1470000000000002</v>
      </c>
      <c r="T33" s="5">
        <v>3.56867</v>
      </c>
    </row>
    <row r="34" spans="1:20" x14ac:dyDescent="0.25">
      <c r="A34" s="5">
        <v>880</v>
      </c>
      <c r="B34" s="5">
        <v>910.56</v>
      </c>
      <c r="C34" s="5">
        <v>68.98</v>
      </c>
      <c r="D34" s="5">
        <v>657.95</v>
      </c>
      <c r="E34" s="5">
        <v>36.61</v>
      </c>
      <c r="F34" s="5">
        <v>2.8234400000000002</v>
      </c>
      <c r="H34" s="5">
        <v>1280</v>
      </c>
      <c r="I34" s="5">
        <v>1372.24</v>
      </c>
      <c r="J34" s="5">
        <v>310.39999999999998</v>
      </c>
      <c r="K34" s="5">
        <v>1004.76</v>
      </c>
      <c r="L34" s="5">
        <v>11.835000000000001</v>
      </c>
      <c r="M34" s="5">
        <v>3.2551000000000001</v>
      </c>
      <c r="O34" s="5">
        <v>1680</v>
      </c>
      <c r="P34" s="5">
        <v>1855.5</v>
      </c>
      <c r="Q34" s="5">
        <v>974.2</v>
      </c>
      <c r="R34" s="5">
        <v>1373.24</v>
      </c>
      <c r="S34" s="5">
        <v>4.9489999999999998</v>
      </c>
      <c r="T34" s="5">
        <v>3.5833499999999998</v>
      </c>
    </row>
    <row r="35" spans="1:20" x14ac:dyDescent="0.25">
      <c r="A35" s="5">
        <v>900</v>
      </c>
      <c r="B35" s="5">
        <v>932.93</v>
      </c>
      <c r="C35" s="5">
        <v>75.290000000000006</v>
      </c>
      <c r="D35" s="5">
        <v>674.58</v>
      </c>
      <c r="E35" s="5">
        <v>34.31</v>
      </c>
      <c r="F35" s="5">
        <v>2.84856</v>
      </c>
      <c r="H35" s="5">
        <v>1300</v>
      </c>
      <c r="I35" s="5">
        <v>1395.97</v>
      </c>
      <c r="J35" s="5">
        <v>330.9</v>
      </c>
      <c r="K35" s="5">
        <v>1022.82</v>
      </c>
      <c r="L35" s="5">
        <v>11.275</v>
      </c>
      <c r="M35" s="5">
        <v>3.27345</v>
      </c>
      <c r="O35" s="5">
        <v>1700</v>
      </c>
      <c r="P35" s="5">
        <v>1880.1</v>
      </c>
      <c r="Q35" s="5">
        <v>1025</v>
      </c>
      <c r="R35" s="5">
        <v>1392.7</v>
      </c>
      <c r="S35" s="5">
        <v>4.7610000000000001</v>
      </c>
      <c r="T35" s="5">
        <v>3.5979000000000001</v>
      </c>
    </row>
    <row r="36" spans="1:20" x14ac:dyDescent="0.25">
      <c r="A36" s="5">
        <v>920</v>
      </c>
      <c r="B36" s="5">
        <v>955.38</v>
      </c>
      <c r="C36" s="5">
        <v>82.05</v>
      </c>
      <c r="D36" s="5">
        <v>691.28</v>
      </c>
      <c r="E36" s="5">
        <v>32.18</v>
      </c>
      <c r="F36" s="5">
        <v>2.87324</v>
      </c>
      <c r="H36" s="5">
        <v>1320</v>
      </c>
      <c r="I36" s="5">
        <v>1419.76</v>
      </c>
      <c r="J36" s="5">
        <v>352.5</v>
      </c>
      <c r="K36" s="5">
        <v>1040.8800000000001</v>
      </c>
      <c r="L36" s="5">
        <v>10.747</v>
      </c>
      <c r="M36" s="5">
        <v>3.2915999999999999</v>
      </c>
      <c r="O36" s="5">
        <v>1750</v>
      </c>
      <c r="P36" s="5">
        <v>1941.6</v>
      </c>
      <c r="Q36" s="5">
        <v>1161</v>
      </c>
      <c r="R36" s="5">
        <v>1439.8</v>
      </c>
      <c r="S36" s="5">
        <v>4.3280000000000003</v>
      </c>
      <c r="T36" s="5">
        <v>3.6335999999999999</v>
      </c>
    </row>
    <row r="37" spans="1:20" x14ac:dyDescent="0.25">
      <c r="A37" s="5">
        <v>940</v>
      </c>
      <c r="B37" s="5">
        <v>977.92</v>
      </c>
      <c r="C37" s="5">
        <v>89.28</v>
      </c>
      <c r="D37" s="5">
        <v>708.08</v>
      </c>
      <c r="E37" s="5">
        <v>30.22</v>
      </c>
      <c r="F37" s="5">
        <v>2.8974799999999998</v>
      </c>
      <c r="H37" s="5">
        <v>1340</v>
      </c>
      <c r="I37" s="5">
        <v>1443.6</v>
      </c>
      <c r="J37" s="5">
        <v>375.3</v>
      </c>
      <c r="K37" s="5">
        <v>1058.94</v>
      </c>
      <c r="L37" s="5">
        <v>10.247</v>
      </c>
      <c r="M37" s="5">
        <v>3.30959</v>
      </c>
      <c r="O37" s="5">
        <v>1800</v>
      </c>
      <c r="P37" s="5">
        <v>2003.3</v>
      </c>
      <c r="Q37" s="5">
        <v>1310</v>
      </c>
      <c r="R37" s="5">
        <v>1487.2</v>
      </c>
      <c r="S37" s="5">
        <v>3.9940000000000002</v>
      </c>
      <c r="T37" s="5">
        <v>3.6684000000000001</v>
      </c>
    </row>
    <row r="38" spans="1:20" x14ac:dyDescent="0.25">
      <c r="A38" s="5">
        <v>960</v>
      </c>
      <c r="B38" s="5">
        <v>1000.55</v>
      </c>
      <c r="C38" s="5">
        <v>97</v>
      </c>
      <c r="D38" s="5">
        <v>725.02</v>
      </c>
      <c r="E38" s="5">
        <v>28.4</v>
      </c>
      <c r="F38" s="5">
        <v>2.9212799999999999</v>
      </c>
      <c r="H38" s="5">
        <v>1360</v>
      </c>
      <c r="I38" s="5">
        <v>1467.49</v>
      </c>
      <c r="J38" s="5">
        <v>399.1</v>
      </c>
      <c r="K38" s="5">
        <v>1077.0999999999999</v>
      </c>
      <c r="L38" s="5">
        <v>9.7799999999999994</v>
      </c>
      <c r="M38" s="5">
        <v>3.3272400000000002</v>
      </c>
      <c r="O38" s="5">
        <v>1850</v>
      </c>
      <c r="P38" s="5">
        <v>2065.3000000000002</v>
      </c>
      <c r="Q38" s="5">
        <v>1475</v>
      </c>
      <c r="R38" s="5">
        <v>1534.9</v>
      </c>
      <c r="S38" s="5">
        <v>3.601</v>
      </c>
      <c r="T38" s="5">
        <v>3.7023000000000001</v>
      </c>
    </row>
    <row r="39" spans="1:20" x14ac:dyDescent="0.25">
      <c r="A39" s="5">
        <v>980</v>
      </c>
      <c r="B39" s="5">
        <v>1023.25</v>
      </c>
      <c r="C39" s="5">
        <v>105.2</v>
      </c>
      <c r="D39" s="5">
        <v>741.98</v>
      </c>
      <c r="E39" s="5">
        <v>26.73</v>
      </c>
      <c r="F39" s="5">
        <v>2.94468</v>
      </c>
      <c r="H39" s="5">
        <v>1380</v>
      </c>
      <c r="I39" s="5">
        <v>1491.44</v>
      </c>
      <c r="J39" s="5">
        <v>424.2</v>
      </c>
      <c r="K39" s="5">
        <v>1095.26</v>
      </c>
      <c r="L39" s="5">
        <v>9.3369999999999997</v>
      </c>
      <c r="M39" s="5">
        <v>3.3447399999999998</v>
      </c>
      <c r="O39" s="5">
        <v>1900</v>
      </c>
      <c r="P39" s="5">
        <v>2127.4</v>
      </c>
      <c r="Q39" s="5">
        <v>1655</v>
      </c>
      <c r="R39" s="5">
        <v>1582.6</v>
      </c>
      <c r="S39" s="5">
        <v>3.2949999999999999</v>
      </c>
      <c r="T39" s="5">
        <v>3.7353999999999998</v>
      </c>
    </row>
    <row r="40" spans="1:20" x14ac:dyDescent="0.25">
      <c r="A40" s="5">
        <v>1000</v>
      </c>
      <c r="B40" s="5">
        <v>1046.04</v>
      </c>
      <c r="C40" s="5">
        <v>114</v>
      </c>
      <c r="D40" s="5">
        <v>758.94</v>
      </c>
      <c r="E40" s="5">
        <v>25.17</v>
      </c>
      <c r="F40" s="5">
        <v>2.9676999999999998</v>
      </c>
      <c r="H40" s="5">
        <v>1400</v>
      </c>
      <c r="I40" s="5">
        <v>1515.42</v>
      </c>
      <c r="J40" s="5">
        <v>450.5</v>
      </c>
      <c r="K40" s="5">
        <v>1113.52</v>
      </c>
      <c r="L40" s="5">
        <v>8.9190000000000005</v>
      </c>
      <c r="M40" s="5">
        <v>3.3620000000000001</v>
      </c>
      <c r="O40" s="5">
        <v>1950</v>
      </c>
      <c r="P40" s="5">
        <v>2189.6999999999998</v>
      </c>
      <c r="Q40" s="5">
        <v>1852</v>
      </c>
      <c r="R40" s="5">
        <v>1630.6</v>
      </c>
      <c r="S40" s="5">
        <v>3.0219999999999998</v>
      </c>
      <c r="T40" s="5">
        <v>3.7677</v>
      </c>
    </row>
    <row r="41" spans="1:20" x14ac:dyDescent="0.25">
      <c r="A41" s="5">
        <v>1020</v>
      </c>
      <c r="B41" s="5">
        <v>1068.8900000000001</v>
      </c>
      <c r="C41" s="5">
        <v>123.4</v>
      </c>
      <c r="D41" s="5">
        <v>776.1</v>
      </c>
      <c r="E41" s="5">
        <v>23.72</v>
      </c>
      <c r="F41" s="5">
        <v>2.9903400000000002</v>
      </c>
      <c r="H41" s="5">
        <v>1420</v>
      </c>
      <c r="I41" s="5">
        <v>1539.44</v>
      </c>
      <c r="J41" s="5">
        <v>478</v>
      </c>
      <c r="K41" s="5">
        <v>1131.77</v>
      </c>
      <c r="L41" s="5">
        <v>8.5259999999999998</v>
      </c>
      <c r="M41" s="5">
        <v>3.3790100000000001</v>
      </c>
      <c r="O41" s="5">
        <v>2000</v>
      </c>
      <c r="P41" s="5">
        <v>2252.1</v>
      </c>
      <c r="Q41" s="5">
        <v>2068</v>
      </c>
      <c r="R41" s="5">
        <v>1678.7</v>
      </c>
      <c r="S41" s="5">
        <v>2.7759999999999998</v>
      </c>
      <c r="T41" s="5">
        <v>3.7993999999999999</v>
      </c>
    </row>
    <row r="42" spans="1:20" x14ac:dyDescent="0.25">
      <c r="A42" s="5">
        <v>1040</v>
      </c>
      <c r="B42" s="5">
        <v>1091.8499999999999</v>
      </c>
      <c r="C42" s="5">
        <v>133.30000000000001</v>
      </c>
      <c r="D42" s="5">
        <v>793.36</v>
      </c>
      <c r="E42" s="5">
        <v>23.29</v>
      </c>
      <c r="F42" s="5">
        <v>3.0125999999999999</v>
      </c>
      <c r="H42" s="5">
        <v>1440</v>
      </c>
      <c r="I42" s="5">
        <v>1563.51</v>
      </c>
      <c r="J42" s="5">
        <v>506.9</v>
      </c>
      <c r="K42" s="5">
        <v>1150.1300000000001</v>
      </c>
      <c r="L42" s="5">
        <v>8.1530000000000005</v>
      </c>
      <c r="M42" s="5">
        <v>3.3958599999999999</v>
      </c>
      <c r="O42" s="5">
        <v>2050</v>
      </c>
      <c r="P42" s="5">
        <v>2314.6</v>
      </c>
      <c r="Q42" s="5">
        <v>2303</v>
      </c>
      <c r="R42" s="5">
        <v>1726.8</v>
      </c>
      <c r="S42" s="5">
        <v>2.5550000000000002</v>
      </c>
      <c r="T42" s="5">
        <v>3.8302999999999998</v>
      </c>
    </row>
    <row r="43" spans="1:20" x14ac:dyDescent="0.25">
      <c r="A43" s="5">
        <v>1060</v>
      </c>
      <c r="B43" s="5">
        <v>1114.8599999999999</v>
      </c>
      <c r="C43" s="5">
        <v>143.9</v>
      </c>
      <c r="D43" s="5">
        <v>810.62</v>
      </c>
      <c r="E43" s="5">
        <v>21.14</v>
      </c>
      <c r="F43" s="5">
        <v>3.0344899999999999</v>
      </c>
      <c r="H43" s="5">
        <v>1460</v>
      </c>
      <c r="I43" s="5">
        <v>1587.63</v>
      </c>
      <c r="J43" s="5">
        <v>537.1</v>
      </c>
      <c r="K43" s="5">
        <v>1168.49</v>
      </c>
      <c r="L43" s="5">
        <v>7.8010000000000002</v>
      </c>
      <c r="M43" s="5">
        <v>3.4124699999999999</v>
      </c>
      <c r="O43" s="5">
        <v>2100</v>
      </c>
      <c r="P43" s="5">
        <v>2377.6999999999998</v>
      </c>
      <c r="Q43" s="5">
        <v>2559</v>
      </c>
      <c r="R43" s="5">
        <v>1775.3</v>
      </c>
      <c r="S43" s="5">
        <v>2.3559999999999999</v>
      </c>
      <c r="T43" s="5">
        <v>3.8605</v>
      </c>
    </row>
    <row r="44" spans="1:20" x14ac:dyDescent="0.25">
      <c r="A44" s="5">
        <v>1080</v>
      </c>
      <c r="B44" s="5">
        <v>1137.8900000000001</v>
      </c>
      <c r="C44" s="5">
        <v>155.19999999999999</v>
      </c>
      <c r="D44" s="5">
        <v>827.88</v>
      </c>
      <c r="E44" s="5">
        <v>19.98</v>
      </c>
      <c r="F44" s="5">
        <v>3.0560800000000001</v>
      </c>
      <c r="H44" s="5">
        <v>1480</v>
      </c>
      <c r="I44" s="5">
        <v>1611.79</v>
      </c>
      <c r="J44" s="5">
        <v>568.79999999999995</v>
      </c>
      <c r="K44" s="5">
        <v>1186.95</v>
      </c>
      <c r="L44" s="5">
        <v>7.468</v>
      </c>
      <c r="M44" s="5">
        <v>3.4289200000000002</v>
      </c>
      <c r="O44" s="5">
        <v>2150</v>
      </c>
      <c r="P44" s="5">
        <v>2440.3000000000002</v>
      </c>
      <c r="Q44" s="5">
        <v>2837</v>
      </c>
      <c r="R44" s="5">
        <v>1823.8</v>
      </c>
      <c r="S44" s="5">
        <v>2.1749999999999998</v>
      </c>
      <c r="T44" s="5">
        <v>3.8900999999999999</v>
      </c>
    </row>
    <row r="45" spans="1:20" x14ac:dyDescent="0.25">
      <c r="A45" s="5">
        <v>1100</v>
      </c>
      <c r="B45" s="5">
        <v>1161.07</v>
      </c>
      <c r="C45" s="5">
        <v>167.1</v>
      </c>
      <c r="D45" s="5">
        <v>845.33</v>
      </c>
      <c r="E45" s="5">
        <v>18.896000000000001</v>
      </c>
      <c r="F45" s="5">
        <v>3.0773199999999998</v>
      </c>
      <c r="H45" s="5">
        <v>1500</v>
      </c>
      <c r="I45" s="5">
        <v>1635.97</v>
      </c>
      <c r="J45" s="5">
        <v>601.9</v>
      </c>
      <c r="K45" s="5">
        <v>1205.4100000000001</v>
      </c>
      <c r="L45" s="5">
        <v>7.1520000000000001</v>
      </c>
      <c r="M45" s="5">
        <v>3.44516</v>
      </c>
      <c r="O45" s="5">
        <v>2200</v>
      </c>
      <c r="P45" s="5">
        <v>2503.1999999999998</v>
      </c>
      <c r="Q45" s="5">
        <v>3138</v>
      </c>
      <c r="R45" s="5">
        <v>1872.4</v>
      </c>
      <c r="S45" s="5">
        <v>2.012</v>
      </c>
      <c r="T45" s="5">
        <v>3.9190999999999998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B94"/>
  <sheetViews>
    <sheetView tabSelected="1" zoomScale="80" zoomScaleNormal="80" workbookViewId="0">
      <selection activeCell="F8" sqref="F8"/>
    </sheetView>
  </sheetViews>
  <sheetFormatPr defaultRowHeight="15" x14ac:dyDescent="0.25"/>
  <cols>
    <col min="1" max="1" width="18.85546875" customWidth="1"/>
    <col min="2" max="2" width="21.28515625" customWidth="1"/>
    <col min="3" max="3" width="11.42578125" customWidth="1"/>
    <col min="6" max="7" width="11.85546875" customWidth="1"/>
    <col min="8" max="8" width="11.28515625" customWidth="1"/>
    <col min="13" max="13" width="12.140625" customWidth="1"/>
    <col min="19" max="19" width="12.140625" customWidth="1"/>
    <col min="25" max="25" width="12.140625" customWidth="1"/>
  </cols>
  <sheetData>
    <row r="1" spans="1:28" x14ac:dyDescent="0.25">
      <c r="A1" t="s">
        <v>16</v>
      </c>
      <c r="B1">
        <v>22</v>
      </c>
    </row>
    <row r="2" spans="1:28" x14ac:dyDescent="0.25">
      <c r="A2" t="s">
        <v>20</v>
      </c>
      <c r="B2">
        <f>SUM(B1,273)</f>
        <v>295</v>
      </c>
      <c r="E2" s="10" t="s">
        <v>25</v>
      </c>
      <c r="F2" s="10"/>
      <c r="L2" s="10" t="s">
        <v>29</v>
      </c>
      <c r="M2" s="10"/>
      <c r="R2" s="10" t="s">
        <v>30</v>
      </c>
      <c r="S2" s="10"/>
      <c r="X2" s="10" t="s">
        <v>31</v>
      </c>
      <c r="Y2" s="10"/>
    </row>
    <row r="3" spans="1:28" x14ac:dyDescent="0.25">
      <c r="A3" t="s">
        <v>17</v>
      </c>
      <c r="B3">
        <v>100</v>
      </c>
    </row>
    <row r="4" spans="1:28" x14ac:dyDescent="0.25">
      <c r="A4" t="s">
        <v>18</v>
      </c>
      <c r="B4">
        <v>100</v>
      </c>
      <c r="E4" t="s">
        <v>26</v>
      </c>
      <c r="F4">
        <f>B2</f>
        <v>295</v>
      </c>
      <c r="L4" t="s">
        <v>33</v>
      </c>
      <c r="M4">
        <f>I12*1/B5</f>
        <v>133.80576497543302</v>
      </c>
      <c r="R4" t="s">
        <v>32</v>
      </c>
      <c r="S4">
        <f>M12*B6</f>
        <v>1299.7203963077086</v>
      </c>
      <c r="X4" t="s">
        <v>34</v>
      </c>
      <c r="Y4">
        <f>V12*B5</f>
        <v>54.632510399269805</v>
      </c>
    </row>
    <row r="5" spans="1:28" x14ac:dyDescent="0.25">
      <c r="A5" s="13" t="s">
        <v>49</v>
      </c>
      <c r="B5">
        <v>4.8420933142825016</v>
      </c>
      <c r="F5" s="7" t="s">
        <v>28</v>
      </c>
      <c r="G5" s="7" t="s">
        <v>1</v>
      </c>
      <c r="H5" s="7" t="s">
        <v>12</v>
      </c>
      <c r="I5" s="7" t="s">
        <v>13</v>
      </c>
      <c r="M5" s="7" t="s">
        <v>28</v>
      </c>
      <c r="N5" s="7" t="s">
        <v>1</v>
      </c>
      <c r="O5" s="7" t="s">
        <v>12</v>
      </c>
      <c r="P5" s="7" t="s">
        <v>13</v>
      </c>
      <c r="S5" s="7" t="s">
        <v>28</v>
      </c>
      <c r="T5" s="7" t="s">
        <v>1</v>
      </c>
      <c r="U5" s="7" t="s">
        <v>12</v>
      </c>
      <c r="V5" s="7" t="s">
        <v>13</v>
      </c>
      <c r="Y5" s="7" t="s">
        <v>28</v>
      </c>
      <c r="Z5" s="7" t="s">
        <v>1</v>
      </c>
      <c r="AA5" s="7" t="s">
        <v>12</v>
      </c>
      <c r="AB5" s="7" t="s">
        <v>13</v>
      </c>
    </row>
    <row r="6" spans="1:28" x14ac:dyDescent="0.25">
      <c r="A6" s="13" t="s">
        <v>50</v>
      </c>
      <c r="B6">
        <v>2.3677314697125107</v>
      </c>
      <c r="F6" s="7"/>
      <c r="G6" s="7"/>
      <c r="H6" s="7"/>
      <c r="I6" s="7"/>
      <c r="M6" s="7"/>
      <c r="N6" s="7"/>
      <c r="O6" s="7"/>
      <c r="P6" s="7"/>
      <c r="S6" s="7"/>
      <c r="T6" s="7"/>
      <c r="U6" s="7"/>
      <c r="V6" s="7"/>
      <c r="Y6" s="7"/>
      <c r="Z6" s="7"/>
      <c r="AA6" s="7"/>
      <c r="AB6" s="7"/>
    </row>
    <row r="7" spans="1:28" x14ac:dyDescent="0.25">
      <c r="A7" t="s">
        <v>21</v>
      </c>
      <c r="B7">
        <v>58</v>
      </c>
      <c r="E7" t="s">
        <v>19</v>
      </c>
      <c r="F7">
        <f>INDEX(ideal_gas_table2!A3:A122,MATCH(Sheet35!F4,ideal_gas_table2!A3:A122,1))</f>
        <v>295</v>
      </c>
      <c r="G7">
        <f>INDEX(ideal_gas_table2!A3:A122,MATCH(Sheet35!F4,ideal_gas_table2!A3:A122,1))</f>
        <v>295</v>
      </c>
      <c r="H7">
        <f>INDEX(ideal_gas_table2!A3:A122,MATCH(Sheet35!F4,ideal_gas_table2!A3:A122,1))</f>
        <v>295</v>
      </c>
      <c r="I7">
        <f>INDEX(ideal_gas_table2!A3:A122,MATCH(Sheet35!F4,ideal_gas_table2!A3:A122,1))</f>
        <v>295</v>
      </c>
      <c r="L7" t="s">
        <v>19</v>
      </c>
      <c r="M7">
        <f>INDEX(ideal_gas_table2!E3:E122,MATCH(Sheet35!M4,ideal_gas_table2!E3:E122,-1))</f>
        <v>139.69999999999999</v>
      </c>
      <c r="N7">
        <f>INDEX(ideal_gas_table2!E3:E122,MATCH(Sheet35!M4,ideal_gas_table2!E3:E122,-1))</f>
        <v>139.69999999999999</v>
      </c>
      <c r="O7">
        <f>INDEX(ideal_gas_table2!E3:E122,MATCH(Sheet35!M4,ideal_gas_table2!E3:E122,-1))</f>
        <v>139.69999999999999</v>
      </c>
      <c r="P7">
        <f>INDEX(ideal_gas_table2!E3:E122,MATCH(Sheet35!M4,ideal_gas_table2!E3:E122,-1))</f>
        <v>139.69999999999999</v>
      </c>
      <c r="R7" t="s">
        <v>19</v>
      </c>
      <c r="S7">
        <f>INDEX(ideal_gas_table2!A3:A122,MATCH(Sheet35!S4,ideal_gas_table2!A3:A122,1))</f>
        <v>1280</v>
      </c>
      <c r="T7">
        <f>INDEX(ideal_gas_table2!A3:A122,MATCH(Sheet35!S4,ideal_gas_table2!A3:A122,1))</f>
        <v>1280</v>
      </c>
      <c r="U7">
        <f>INDEX(ideal_gas_table2!A3:A122,MATCH(Sheet35!S4,ideal_gas_table2!A3:A122,1))</f>
        <v>1280</v>
      </c>
      <c r="V7">
        <f>INDEX(ideal_gas_table2!A3:A122,MATCH(Sheet35!S4,ideal_gas_table2!A3:A122,1))</f>
        <v>1280</v>
      </c>
      <c r="X7" t="s">
        <v>19</v>
      </c>
      <c r="Y7">
        <f>INDEX(ideal_gas_table2!E3:E122,MATCH(Sheet35!Y4,ideal_gas_table2!E3:E122,-1))</f>
        <v>55.54</v>
      </c>
      <c r="Z7">
        <f>INDEX(ideal_gas_table2!E3:E122,MATCH(Sheet35!Y4,ideal_gas_table2!E3:E122,-1))</f>
        <v>55.54</v>
      </c>
      <c r="AA7">
        <f>INDEX(ideal_gas_table2!E3:E122,MATCH(Sheet35!Y4,ideal_gas_table2!E3:E122,-1))</f>
        <v>55.54</v>
      </c>
      <c r="AB7">
        <f>INDEX(ideal_gas_table2!E3:E122,MATCH(Sheet35!Y4,ideal_gas_table2!E3:E122,-1))</f>
        <v>55.54</v>
      </c>
    </row>
    <row r="8" spans="1:28" x14ac:dyDescent="0.25">
      <c r="E8" t="s">
        <v>22</v>
      </c>
      <c r="F8">
        <f>INDEX(ideal_gas_table2!A3:A122,MATCH(Sheet35!F4,ideal_gas_table2!A3:A122,1))</f>
        <v>295</v>
      </c>
      <c r="G8">
        <f>INDEX(ideal_gas_table2!B3:B122,MATCH(Sheet35!F4,ideal_gas_table2!A3:A122,1))</f>
        <v>295.17</v>
      </c>
      <c r="H8">
        <f>INDEX(ideal_gas_table2!D3:D122,MATCH(Sheet35!F4,ideal_gas_table2!A3:A122,1))</f>
        <v>210.49</v>
      </c>
      <c r="I8">
        <f>INDEX(ideal_gas_table2!E3:E122,MATCH(Sheet35!F4,ideal_gas_table2!A3:A122,1))</f>
        <v>647.9</v>
      </c>
      <c r="L8" t="s">
        <v>22</v>
      </c>
      <c r="M8">
        <f>INDEX(ideal_gas_table2!A3:A122,MATCH(Sheet35!M4,ideal_gas_table2!E3:E122,-1))</f>
        <v>540</v>
      </c>
      <c r="N8">
        <f>INDEX(ideal_gas_table2!B3:B122,MATCH(Sheet35!M4,ideal_gas_table2!E3:E122,-1))</f>
        <v>544.35</v>
      </c>
      <c r="O8">
        <f>INDEX(ideal_gas_table2!D3:D122,MATCH(Sheet35!M4,ideal_gas_table2!E3:E122,-1))</f>
        <v>389.34</v>
      </c>
      <c r="P8">
        <f>INDEX(ideal_gas_table2!E3:E122,MATCH(Sheet35!M4,ideal_gas_table2!E3:E122,-1))</f>
        <v>139.69999999999999</v>
      </c>
      <c r="R8" t="s">
        <v>22</v>
      </c>
      <c r="S8">
        <f>INDEX(ideal_gas_table2!A3:A122,MATCH(Sheet35!S4,ideal_gas_table2!A3:A122,1))</f>
        <v>1280</v>
      </c>
      <c r="T8">
        <f>INDEX(ideal_gas_table2!B3:B122,MATCH(Sheet35!S4,ideal_gas_table2!A3:A122,1))</f>
        <v>1372.24</v>
      </c>
      <c r="U8">
        <f>INDEX(ideal_gas_table2!D3:D122,MATCH(Sheet35!S4,ideal_gas_table2!A3:A122,1))</f>
        <v>1004.76</v>
      </c>
      <c r="V8">
        <f>INDEX(ideal_gas_table2!E3:E122,MATCH(Sheet35!S4,ideal_gas_table2!A3:A122,1))</f>
        <v>11.835000000000001</v>
      </c>
      <c r="X8" t="s">
        <v>22</v>
      </c>
      <c r="Y8">
        <f>INDEX(ideal_gas_table2!A3:A122,MATCH(Sheet35!Y4,ideal_gas_table2!E3:E122,-1))</f>
        <v>760</v>
      </c>
      <c r="Z8">
        <f>INDEX(ideal_gas_table2!B3:B122,MATCH(Sheet35!Y4,ideal_gas_table2!E3:E122,-1))</f>
        <v>778.18</v>
      </c>
      <c r="AA8">
        <f>INDEX(ideal_gas_table2!D3:D122,MATCH(Sheet35!Y4,ideal_gas_table2!E3:E122,-1))</f>
        <v>560.01</v>
      </c>
      <c r="AB8">
        <f>INDEX(ideal_gas_table2!E3:E122,MATCH(Sheet35!Y4,ideal_gas_table2!E3:E122,-1))</f>
        <v>55.54</v>
      </c>
    </row>
    <row r="9" spans="1:28" x14ac:dyDescent="0.25">
      <c r="A9" t="s">
        <v>35</v>
      </c>
      <c r="B9">
        <f>B4*(M4/I12)</f>
        <v>20.652224876590992</v>
      </c>
      <c r="E9" t="s">
        <v>23</v>
      </c>
      <c r="F9">
        <f>INDEX(ideal_gas_table2!A3:A122,MATCH(Sheet35!F4,ideal_gas_table2!A3:A122,1)+1)</f>
        <v>298</v>
      </c>
      <c r="G9">
        <f>INDEX(ideal_gas_table2!A3:A122,MATCH(Sheet35!F4,ideal_gas_table2!A3:A122,1)+1)</f>
        <v>298</v>
      </c>
      <c r="H9">
        <f>INDEX(ideal_gas_table2!A3:A122,MATCH(Sheet35!F4,ideal_gas_table2!A3:A122,1)+1)</f>
        <v>298</v>
      </c>
      <c r="I9">
        <f>INDEX(ideal_gas_table2!A3:A122,MATCH(Sheet35!F4,ideal_gas_table2!A3:A122,1)+1)</f>
        <v>298</v>
      </c>
      <c r="L9" t="s">
        <v>23</v>
      </c>
      <c r="M9">
        <f>INDEX(ideal_gas_table2!E3:E122,MATCH(Sheet35!M4,ideal_gas_table2!E3:E122,-1)+1)</f>
        <v>133.1</v>
      </c>
      <c r="N9">
        <f>INDEX(ideal_gas_table2!E3:E122,MATCH(Sheet35!M4,ideal_gas_table2!E3:E122,-1)+1)</f>
        <v>133.1</v>
      </c>
      <c r="O9">
        <f>INDEX(ideal_gas_table2!E3:E122,MATCH(Sheet35!M4,ideal_gas_table2!E3:E122,-1)+1)</f>
        <v>133.1</v>
      </c>
      <c r="P9">
        <f>INDEX(ideal_gas_table2!E3:E122,MATCH(Sheet35!M4,ideal_gas_table2!E3:E122,-1)+1)</f>
        <v>133.1</v>
      </c>
      <c r="R9" t="s">
        <v>23</v>
      </c>
      <c r="S9">
        <f>INDEX(ideal_gas_table2!A3:A122,MATCH(Sheet35!S4,ideal_gas_table2!A3:A122,1)+1)</f>
        <v>1300</v>
      </c>
      <c r="T9">
        <f>INDEX(ideal_gas_table2!A3:A122,MATCH(Sheet35!S4,ideal_gas_table2!A3:A122,1)+1)</f>
        <v>1300</v>
      </c>
      <c r="U9">
        <f>INDEX(ideal_gas_table2!A3:A122,MATCH(Sheet35!S4,ideal_gas_table2!A3:A122,1)+1)</f>
        <v>1300</v>
      </c>
      <c r="V9">
        <f>INDEX(ideal_gas_table2!A3:A122,MATCH(Sheet35!S4,ideal_gas_table2!A3:A122,1)+1)</f>
        <v>1300</v>
      </c>
      <c r="X9" t="s">
        <v>23</v>
      </c>
      <c r="Y9">
        <f>INDEX(ideal_gas_table2!E3:E122,MATCH(Sheet35!Y4,ideal_gas_table2!E3:E122,-1)+1)</f>
        <v>51.64</v>
      </c>
      <c r="Z9">
        <f>INDEX(ideal_gas_table2!E3:E122,MATCH(Sheet35!Y4,ideal_gas_table2!E3:E122,-1)+1)</f>
        <v>51.64</v>
      </c>
      <c r="AA9">
        <f>INDEX(ideal_gas_table2!E3:E122,MATCH(Sheet35!Y4,ideal_gas_table2!E3:E122,-1)+1)</f>
        <v>51.64</v>
      </c>
      <c r="AB9">
        <f>INDEX(ideal_gas_table2!E3:E122,MATCH(Sheet35!Y4,ideal_gas_table2!E3:E122,-1)+1)</f>
        <v>51.64</v>
      </c>
    </row>
    <row r="10" spans="1:28" x14ac:dyDescent="0.25">
      <c r="A10" t="s">
        <v>36</v>
      </c>
      <c r="B10">
        <f>B6*B9</f>
        <v>48.898922759884066</v>
      </c>
      <c r="E10" t="s">
        <v>24</v>
      </c>
      <c r="F10">
        <f>INDEX(ideal_gas_table2!A3:A122,MATCH(Sheet35!F4,ideal_gas_table2!A3:A122,1)+1)</f>
        <v>298</v>
      </c>
      <c r="G10">
        <f>INDEX(ideal_gas_table2!B3:B122,MATCH(Sheet35!F4,ideal_gas_table2!A3:A122,1)+1)</f>
        <v>298.18</v>
      </c>
      <c r="H10">
        <f>INDEX(ideal_gas_table2!D3:D122,MATCH(Sheet35!F4,ideal_gas_table2!A3:A122,1)+1)</f>
        <v>212.64</v>
      </c>
      <c r="I10">
        <f>INDEX(ideal_gas_table2!E3:E122,MATCH(Sheet35!F4,ideal_gas_table2!A3:A122,1)+1)</f>
        <v>631.9</v>
      </c>
      <c r="L10" t="s">
        <v>24</v>
      </c>
      <c r="M10">
        <f>INDEX(ideal_gas_table2!A3:A122,MATCH(Sheet35!M4,ideal_gas_table2!E3:E122,-1)+1)</f>
        <v>550</v>
      </c>
      <c r="N10">
        <f>INDEX(ideal_gas_table2!B3:B122,MATCH(Sheet35!M4,ideal_gas_table2!E3:E122,-1)+1)</f>
        <v>555.74</v>
      </c>
      <c r="O10">
        <f>INDEX(ideal_gas_table2!D3:D122,MATCH(Sheet35!M4,ideal_gas_table2!E3:E122,-1)+1)</f>
        <v>396.86</v>
      </c>
      <c r="P10">
        <f>INDEX(ideal_gas_table2!E3:E122,MATCH(Sheet35!M4,ideal_gas_table2!E3:E122,-1)+1)</f>
        <v>133.1</v>
      </c>
      <c r="R10" t="s">
        <v>24</v>
      </c>
      <c r="S10">
        <f>INDEX(ideal_gas_table2!A3:A122,MATCH(Sheet35!S4,ideal_gas_table2!A3:A122,1)+1)</f>
        <v>1300</v>
      </c>
      <c r="T10">
        <f>INDEX(ideal_gas_table2!B3:B122,MATCH(Sheet35!S4,ideal_gas_table2!A3:A122,1)+1)</f>
        <v>1395.97</v>
      </c>
      <c r="U10">
        <f>INDEX(ideal_gas_table2!D3:D122,MATCH(Sheet35!S4,ideal_gas_table2!A3:A122,1)+1)</f>
        <v>1022.82</v>
      </c>
      <c r="V10">
        <f>INDEX(ideal_gas_table2!E3:E122,MATCH(Sheet35!S4,ideal_gas_table2!A3:A122,1)+1)</f>
        <v>11.275</v>
      </c>
      <c r="X10" t="s">
        <v>24</v>
      </c>
      <c r="Y10">
        <f>INDEX(ideal_gas_table2!A3:A122,MATCH(Sheet35!Y4,ideal_gas_table2!E3:E122,-1)+1)</f>
        <v>780</v>
      </c>
      <c r="Z10">
        <f>INDEX(ideal_gas_table2!B3:B122,MATCH(Sheet35!Y4,ideal_gas_table2!E3:E122,-1)+1)</f>
        <v>800.03</v>
      </c>
      <c r="AA10">
        <f>INDEX(ideal_gas_table2!D3:D122,MATCH(Sheet35!Y4,ideal_gas_table2!E3:E122,-1)+1)</f>
        <v>576.12</v>
      </c>
      <c r="AB10">
        <f>INDEX(ideal_gas_table2!E3:E122,MATCH(Sheet35!Y4,ideal_gas_table2!E3:E122,-1)+1)</f>
        <v>51.64</v>
      </c>
    </row>
    <row r="11" spans="1:28" x14ac:dyDescent="0.25">
      <c r="A11" t="s">
        <v>37</v>
      </c>
      <c r="B11">
        <f>B4</f>
        <v>100</v>
      </c>
    </row>
    <row r="12" spans="1:28" x14ac:dyDescent="0.25">
      <c r="A12" t="s">
        <v>38</v>
      </c>
      <c r="B12">
        <f>B3*((M12/F12)*(B4/B9))</f>
        <v>901.00795748102144</v>
      </c>
      <c r="E12" t="s">
        <v>27</v>
      </c>
      <c r="F12">
        <f xml:space="preserve"> F8+((F10-F8)/(F9-F4)*(F4-F7))</f>
        <v>295</v>
      </c>
      <c r="G12">
        <f>G8+(((G10-G8)/(G9-G7))*(F4-G7))</f>
        <v>295.17</v>
      </c>
      <c r="H12">
        <f>H8+(((H10-H8)/(H9-H7))*(F4-H7))</f>
        <v>210.49</v>
      </c>
      <c r="I12" s="7">
        <f>I8+((I10-I8)/(I9-I7)*(F4-I7))</f>
        <v>647.9</v>
      </c>
      <c r="L12" t="s">
        <v>27</v>
      </c>
      <c r="M12" s="7">
        <f>M8+((M10-M8)/(M9-M7)*(M4-M7))</f>
        <v>548.93065912813177</v>
      </c>
      <c r="N12">
        <f>N8+(((N10-N8)/(N9-N7))*(M4-N7))</f>
        <v>554.52202074694208</v>
      </c>
      <c r="O12">
        <f>O8+(((O10-O8)/(O9-O7))*(M4-O7))</f>
        <v>396.05585566435508</v>
      </c>
      <c r="P12">
        <f>P8+(((P10-P8)/(P9-P7))*(M4-P7))</f>
        <v>133.80576497543302</v>
      </c>
      <c r="R12" t="s">
        <v>27</v>
      </c>
      <c r="S12">
        <f xml:space="preserve"> S8+(((S10-S8)/(S9-S7))*(S4-S7))</f>
        <v>1299.7203963077086</v>
      </c>
      <c r="T12">
        <f>T8+(((T10-T8)/(T9-T7))*(S4-T7))</f>
        <v>1395.6382502190963</v>
      </c>
      <c r="U12">
        <f>U8+(((U10-U8)/(U9-U7))*(S4-U7))</f>
        <v>1022.567517865861</v>
      </c>
      <c r="V12" s="7">
        <f>V8+((V10-V8)/(V9-V7)*(S4-V7))</f>
        <v>11.282828903384159</v>
      </c>
      <c r="X12" t="s">
        <v>27</v>
      </c>
      <c r="Y12" s="7">
        <f xml:space="preserve"> Y8+((Y10-Y8)/(Y9-Y7)*(Y4-Y7))</f>
        <v>764.65379282425738</v>
      </c>
      <c r="Z12">
        <f>Z8+(((Z10-Z8)/(Z9-Z7))*(Y4-Z7))</f>
        <v>783.26426866050122</v>
      </c>
      <c r="AA12">
        <f>AA8+(((AA10-AA8)/(AA9-AA7))*(Y4-AA7))</f>
        <v>563.75863011993931</v>
      </c>
      <c r="AB12">
        <f>AB8+(((AB10-AB8)/(AB9-AB7))*(Y4-AB7))</f>
        <v>54.632510399269805</v>
      </c>
    </row>
    <row r="13" spans="1:28" x14ac:dyDescent="0.25">
      <c r="A13" t="s">
        <v>39</v>
      </c>
      <c r="B13">
        <f>B12</f>
        <v>901.00795748102144</v>
      </c>
    </row>
    <row r="14" spans="1:28" x14ac:dyDescent="0.25">
      <c r="A14" t="s">
        <v>40</v>
      </c>
      <c r="B14">
        <f>B13*((Y12/S12)*(B10/B11))</f>
        <v>259.20467553364659</v>
      </c>
    </row>
    <row r="15" spans="1:28" x14ac:dyDescent="0.25">
      <c r="A15" s="11" t="s">
        <v>44</v>
      </c>
      <c r="B15">
        <v>58</v>
      </c>
      <c r="C15" t="s">
        <v>45</v>
      </c>
    </row>
    <row r="16" spans="1:28" x14ac:dyDescent="0.25">
      <c r="A16" t="s">
        <v>47</v>
      </c>
      <c r="B16">
        <f>F24-F23</f>
        <v>841.11622947215426</v>
      </c>
    </row>
    <row r="17" spans="1:10" x14ac:dyDescent="0.25">
      <c r="A17" t="s">
        <v>48</v>
      </c>
      <c r="B17">
        <f xml:space="preserve"> G25-G22</f>
        <v>353.2686301199393</v>
      </c>
    </row>
    <row r="19" spans="1:10" x14ac:dyDescent="0.25">
      <c r="A19" s="13" t="s">
        <v>46</v>
      </c>
      <c r="B19">
        <f>(1-B17/B16)*100</f>
        <v>58.000022144188755</v>
      </c>
      <c r="C19" t="s">
        <v>45</v>
      </c>
    </row>
    <row r="21" spans="1:10" x14ac:dyDescent="0.25">
      <c r="C21" t="s">
        <v>41</v>
      </c>
      <c r="D21" s="8"/>
      <c r="E21" s="8" t="s">
        <v>28</v>
      </c>
      <c r="F21" s="8" t="s">
        <v>1</v>
      </c>
      <c r="G21" s="8" t="s">
        <v>12</v>
      </c>
      <c r="H21" s="8" t="s">
        <v>13</v>
      </c>
      <c r="I21" s="8" t="s">
        <v>42</v>
      </c>
      <c r="J21" s="8" t="s">
        <v>43</v>
      </c>
    </row>
    <row r="22" spans="1:10" x14ac:dyDescent="0.25">
      <c r="C22">
        <v>1</v>
      </c>
      <c r="E22">
        <f>F12</f>
        <v>295</v>
      </c>
      <c r="F22">
        <f>G12</f>
        <v>295.17</v>
      </c>
      <c r="G22">
        <f>H12</f>
        <v>210.49</v>
      </c>
      <c r="H22">
        <f>I12</f>
        <v>647.9</v>
      </c>
      <c r="I22">
        <f>B3</f>
        <v>100</v>
      </c>
      <c r="J22">
        <f>B4</f>
        <v>100</v>
      </c>
    </row>
    <row r="23" spans="1:10" x14ac:dyDescent="0.25">
      <c r="C23">
        <v>2</v>
      </c>
      <c r="E23">
        <f>M12</f>
        <v>548.93065912813177</v>
      </c>
      <c r="F23">
        <f>N12</f>
        <v>554.52202074694208</v>
      </c>
      <c r="G23">
        <f>O12</f>
        <v>396.05585566435508</v>
      </c>
      <c r="H23">
        <v>43.193333333333335</v>
      </c>
      <c r="I23">
        <f>B12</f>
        <v>901.00795748102144</v>
      </c>
      <c r="J23">
        <f>B9</f>
        <v>20.652224876590992</v>
      </c>
    </row>
    <row r="24" spans="1:10" x14ac:dyDescent="0.25">
      <c r="C24">
        <v>3</v>
      </c>
      <c r="E24">
        <f>S12</f>
        <v>1299.7203963077086</v>
      </c>
      <c r="F24">
        <f>T12</f>
        <v>1395.6382502190963</v>
      </c>
      <c r="G24">
        <f>U12</f>
        <v>1022.567517865861</v>
      </c>
      <c r="H24">
        <f>V12</f>
        <v>11.282828903384159</v>
      </c>
      <c r="I24">
        <f>B13</f>
        <v>901.00795748102144</v>
      </c>
      <c r="J24">
        <f>B10</f>
        <v>48.898922759884066</v>
      </c>
    </row>
    <row r="25" spans="1:10" x14ac:dyDescent="0.25">
      <c r="A25" t="s">
        <v>53</v>
      </c>
      <c r="C25">
        <v>4</v>
      </c>
      <c r="E25">
        <f>Y12</f>
        <v>764.65379282425738</v>
      </c>
      <c r="F25">
        <f>Z12</f>
        <v>783.26426866050122</v>
      </c>
      <c r="G25">
        <f>AA12</f>
        <v>563.75863011993931</v>
      </c>
      <c r="H25">
        <f>AB12</f>
        <v>54.632510399269805</v>
      </c>
      <c r="I25">
        <f>B14</f>
        <v>259.20467553364659</v>
      </c>
      <c r="J25">
        <f>B11</f>
        <v>100</v>
      </c>
    </row>
    <row r="26" spans="1:10" x14ac:dyDescent="0.25">
      <c r="A26" s="9" t="s">
        <v>52</v>
      </c>
      <c r="B26">
        <v>2073</v>
      </c>
      <c r="C26" t="s">
        <v>9</v>
      </c>
    </row>
    <row r="27" spans="1:10" x14ac:dyDescent="0.25">
      <c r="A27" s="9" t="s">
        <v>54</v>
      </c>
      <c r="B27">
        <v>8000</v>
      </c>
      <c r="C27" t="s">
        <v>56</v>
      </c>
    </row>
    <row r="28" spans="1:10" x14ac:dyDescent="0.25">
      <c r="A28" s="9" t="s">
        <v>55</v>
      </c>
      <c r="B28">
        <v>1.4</v>
      </c>
    </row>
    <row r="36" spans="1:5" x14ac:dyDescent="0.25">
      <c r="A36" s="12"/>
      <c r="B36" s="12" t="s">
        <v>43</v>
      </c>
      <c r="C36" s="12" t="s">
        <v>28</v>
      </c>
      <c r="D36" s="12" t="s">
        <v>51</v>
      </c>
      <c r="E36" s="12" t="s">
        <v>42</v>
      </c>
    </row>
    <row r="37" spans="1:5" x14ac:dyDescent="0.25">
      <c r="A37" s="12">
        <v>4</v>
      </c>
      <c r="B37">
        <f>J25</f>
        <v>100</v>
      </c>
      <c r="C37">
        <f>E25</f>
        <v>764.65379282425738</v>
      </c>
      <c r="D37">
        <f>H25</f>
        <v>54.632510399269805</v>
      </c>
      <c r="E37">
        <f>I25</f>
        <v>259.20467553364659</v>
      </c>
    </row>
    <row r="38" spans="1:5" x14ac:dyDescent="0.25">
      <c r="B38">
        <v>95</v>
      </c>
      <c r="C38">
        <v>778.65</v>
      </c>
      <c r="D38">
        <f xml:space="preserve"> D37*(B38/B37)</f>
        <v>51.900884879306311</v>
      </c>
      <c r="E38">
        <f>E37*(C38/C37)*(B37/B38)</f>
        <v>277.84121320249778</v>
      </c>
    </row>
    <row r="39" spans="1:5" x14ac:dyDescent="0.25">
      <c r="B39">
        <v>90</v>
      </c>
      <c r="C39">
        <v>793.92</v>
      </c>
      <c r="D39">
        <f>D38*(B39/B38)</f>
        <v>49.169259359342817</v>
      </c>
      <c r="E39">
        <f>E38*(C39/C38)*(B38/B39)</f>
        <v>299.02824858757072</v>
      </c>
    </row>
    <row r="40" spans="1:5" x14ac:dyDescent="0.25">
      <c r="B40">
        <v>85</v>
      </c>
      <c r="C40">
        <v>810.14</v>
      </c>
      <c r="D40">
        <f>D39*(B40/B39)</f>
        <v>46.437633839379323</v>
      </c>
      <c r="E40">
        <f>E39*(C40/C39)*(B39/B40)</f>
        <v>323.08673978065809</v>
      </c>
    </row>
    <row r="41" spans="1:5" x14ac:dyDescent="0.25">
      <c r="B41">
        <v>80</v>
      </c>
      <c r="C41">
        <v>827.59</v>
      </c>
      <c r="D41">
        <f>D40*(B41/B40)</f>
        <v>43.706008319415837</v>
      </c>
      <c r="E41">
        <f>E40*(C41/C40)*(B40/B41)</f>
        <v>350.67372881355936</v>
      </c>
    </row>
    <row r="42" spans="1:5" x14ac:dyDescent="0.25">
      <c r="B42">
        <v>75</v>
      </c>
      <c r="C42">
        <v>846.41</v>
      </c>
      <c r="D42">
        <f>D41*(B42/B41)</f>
        <v>40.97438279945235</v>
      </c>
      <c r="E42">
        <f>E41*(C42/C41)*(B41/B42)</f>
        <v>382.55819209039544</v>
      </c>
    </row>
    <row r="43" spans="1:5" x14ac:dyDescent="0.25">
      <c r="B43">
        <v>70</v>
      </c>
      <c r="C43">
        <v>866.99</v>
      </c>
      <c r="D43">
        <f>D42*(B43/B42)</f>
        <v>38.242757279488863</v>
      </c>
      <c r="E43">
        <f>E42*(C43/C42)*(B42/B43)</f>
        <v>419.84987893462471</v>
      </c>
    </row>
    <row r="44" spans="1:5" x14ac:dyDescent="0.25">
      <c r="B44">
        <v>65</v>
      </c>
      <c r="C44">
        <v>889.56</v>
      </c>
      <c r="D44">
        <f>D43*(B44/B43)</f>
        <v>35.511131759525377</v>
      </c>
      <c r="E44">
        <f>E43*(C44/C43)*(B43/B44)</f>
        <v>463.91655801825289</v>
      </c>
    </row>
    <row r="45" spans="1:5" x14ac:dyDescent="0.25">
      <c r="B45">
        <v>60</v>
      </c>
      <c r="C45">
        <v>914.38</v>
      </c>
      <c r="D45">
        <f>D44*(B45/B44)</f>
        <v>32.77950623956189</v>
      </c>
      <c r="E45">
        <f>E44*(C45/C44)*(B44/B45)</f>
        <v>516.59887005649716</v>
      </c>
    </row>
    <row r="46" spans="1:5" x14ac:dyDescent="0.25">
      <c r="B46">
        <v>55</v>
      </c>
      <c r="C46">
        <v>941.89</v>
      </c>
      <c r="D46">
        <f>D45*(B46/B45)</f>
        <v>30.047880719598396</v>
      </c>
      <c r="E46">
        <f>E45*(C46/C45)*(B45/B46)</f>
        <v>580.51771956856703</v>
      </c>
    </row>
    <row r="47" spans="1:5" x14ac:dyDescent="0.25">
      <c r="B47">
        <v>50</v>
      </c>
      <c r="C47">
        <v>972.98</v>
      </c>
      <c r="D47">
        <f>D46*(B47/B46)</f>
        <v>27.316255199634906</v>
      </c>
      <c r="E47">
        <f>E46*(C47/C46)*(B46/B47)</f>
        <v>659.6474576271188</v>
      </c>
    </row>
    <row r="48" spans="1:5" x14ac:dyDescent="0.25">
      <c r="A48" s="12">
        <v>3</v>
      </c>
      <c r="B48">
        <f>J24</f>
        <v>48.898922759884066</v>
      </c>
      <c r="C48">
        <f>E24</f>
        <v>1299.7203963077086</v>
      </c>
      <c r="D48">
        <f>H24</f>
        <v>11.282828903384159</v>
      </c>
      <c r="E48">
        <f>I24</f>
        <v>901.00795748102144</v>
      </c>
    </row>
    <row r="49" spans="1:5" x14ac:dyDescent="0.25">
      <c r="A49" s="12">
        <v>2</v>
      </c>
      <c r="B49">
        <v>20.652200000000001</v>
      </c>
      <c r="C49">
        <f>E23</f>
        <v>548.93065912813177</v>
      </c>
      <c r="D49">
        <f>H23</f>
        <v>43.193333333333335</v>
      </c>
      <c r="E49">
        <f>I23</f>
        <v>901.00795748102144</v>
      </c>
    </row>
    <row r="50" spans="1:5" x14ac:dyDescent="0.25">
      <c r="B50">
        <v>25</v>
      </c>
      <c r="C50">
        <v>776.68</v>
      </c>
      <c r="D50">
        <f>D49*(B50/B49)</f>
        <v>52.286600620434307</v>
      </c>
      <c r="E50">
        <f>E49*(C50/C49)*(B49/B50)</f>
        <v>1053.1241551889545</v>
      </c>
    </row>
    <row r="51" spans="1:5" x14ac:dyDescent="0.25">
      <c r="B51">
        <v>30</v>
      </c>
      <c r="C51">
        <v>727.44</v>
      </c>
      <c r="D51">
        <f>D50*(B51/B50)</f>
        <v>62.743920744521162</v>
      </c>
      <c r="E51">
        <f>E50*(C51/C50)*(B50/B51)</f>
        <v>821.96511159749753</v>
      </c>
    </row>
    <row r="52" spans="1:5" x14ac:dyDescent="0.25">
      <c r="B52">
        <v>35</v>
      </c>
      <c r="C52">
        <v>687.82</v>
      </c>
      <c r="D52">
        <f>D51*(B52/B51)</f>
        <v>73.201240868608025</v>
      </c>
      <c r="E52">
        <f>E51*(C52/C51)*(B51/B52)</f>
        <v>666.16868909246205</v>
      </c>
    </row>
    <row r="53" spans="1:5" x14ac:dyDescent="0.25">
      <c r="B53">
        <v>40</v>
      </c>
      <c r="C53">
        <v>654.87</v>
      </c>
      <c r="D53">
        <f>D52*(B53/B52)</f>
        <v>83.658560992694888</v>
      </c>
      <c r="E53">
        <f>E52*(C53/C52)*(B52/B53)</f>
        <v>554.97390777780959</v>
      </c>
    </row>
    <row r="54" spans="1:5" x14ac:dyDescent="0.25">
      <c r="B54">
        <v>45</v>
      </c>
      <c r="C54">
        <v>626.87</v>
      </c>
      <c r="D54">
        <f>D53*(B54/B53)</f>
        <v>94.11588111678175</v>
      </c>
      <c r="E54">
        <f>E53*(C54/C53)*(B53/B54)</f>
        <v>472.21788693420126</v>
      </c>
    </row>
    <row r="55" spans="1:5" x14ac:dyDescent="0.25">
      <c r="B55">
        <v>50</v>
      </c>
      <c r="C55">
        <v>602.66999999999996</v>
      </c>
      <c r="D55">
        <f>D54*(B55/B54)</f>
        <v>104.57320124086861</v>
      </c>
      <c r="E55">
        <f>E54*(C55/C54)*(B54/B55)</f>
        <v>408.58933834251366</v>
      </c>
    </row>
    <row r="56" spans="1:5" x14ac:dyDescent="0.25">
      <c r="B56">
        <v>55</v>
      </c>
      <c r="C56">
        <v>581.30999999999995</v>
      </c>
      <c r="D56">
        <f>D55*(B56/B55)</f>
        <v>115.03052136495549</v>
      </c>
      <c r="E56">
        <f>E55*(C56/C55)*(B55/B56)</f>
        <v>358.27999986708636</v>
      </c>
    </row>
    <row r="57" spans="1:5" x14ac:dyDescent="0.25">
      <c r="B57">
        <v>60</v>
      </c>
      <c r="C57">
        <v>562.61</v>
      </c>
      <c r="D57">
        <f>D56*(B57/B56)</f>
        <v>125.48784148904234</v>
      </c>
      <c r="E57">
        <f>E56*(C57/C56)*(B56/B57)</f>
        <v>317.8583741860964</v>
      </c>
    </row>
    <row r="58" spans="1:5" x14ac:dyDescent="0.25">
      <c r="B58">
        <v>65</v>
      </c>
      <c r="C58">
        <v>545.69000000000005</v>
      </c>
      <c r="D58">
        <f>D57*(B58/B57)</f>
        <v>135.94516161312919</v>
      </c>
      <c r="E58">
        <f>E57*(C58/C57)*(B57/B58)</f>
        <v>284.58375107709969</v>
      </c>
    </row>
    <row r="59" spans="1:5" x14ac:dyDescent="0.25">
      <c r="B59">
        <v>70</v>
      </c>
      <c r="C59">
        <v>530.42999999999995</v>
      </c>
      <c r="D59">
        <f>D58*(B59/B58)</f>
        <v>146.40248173721605</v>
      </c>
      <c r="E59">
        <f>E58*(C59/C58)*(B58/B59)</f>
        <v>256.86651867880738</v>
      </c>
    </row>
    <row r="60" spans="1:5" x14ac:dyDescent="0.25">
      <c r="B60">
        <v>75</v>
      </c>
      <c r="C60">
        <v>516.54999999999995</v>
      </c>
      <c r="D60">
        <f>D59*(B60/B59)</f>
        <v>156.85980186130291</v>
      </c>
      <c r="E60">
        <f>E59*(C60/C59)*(B59/B60)</f>
        <v>233.46864532920225</v>
      </c>
    </row>
    <row r="61" spans="1:5" x14ac:dyDescent="0.25">
      <c r="B61">
        <v>80</v>
      </c>
      <c r="C61">
        <v>503.86</v>
      </c>
      <c r="D61">
        <f>D60*(B61/B60)</f>
        <v>167.31712198538978</v>
      </c>
      <c r="E61">
        <f>E60*(C61/C60)*(B60/B61)</f>
        <v>213.49974282905549</v>
      </c>
    </row>
    <row r="62" spans="1:5" x14ac:dyDescent="0.25">
      <c r="B62">
        <v>85</v>
      </c>
      <c r="C62">
        <v>492.15</v>
      </c>
      <c r="D62">
        <f>D61*(B62/B61)</f>
        <v>177.77444210947664</v>
      </c>
      <c r="E62">
        <f>E61*(C62/C61)*(B61/B62)</f>
        <v>196.27095002266205</v>
      </c>
    </row>
    <row r="63" spans="1:5" x14ac:dyDescent="0.25">
      <c r="B63">
        <v>90</v>
      </c>
      <c r="C63">
        <v>481.29</v>
      </c>
      <c r="D63">
        <f>D62*(B63/B62)</f>
        <v>188.2317622335635</v>
      </c>
      <c r="E63">
        <f>E62*(C63/C62)*(B62/B63)</f>
        <v>181.27661780158707</v>
      </c>
    </row>
    <row r="64" spans="1:5" x14ac:dyDescent="0.25">
      <c r="B64">
        <v>95</v>
      </c>
      <c r="C64">
        <v>471.33</v>
      </c>
      <c r="D64">
        <f>D63*(B64/B63)</f>
        <v>198.68908235765036</v>
      </c>
      <c r="E64">
        <f>E63*(C64/C63)*(B63/B64)</f>
        <v>168.18177779143949</v>
      </c>
    </row>
    <row r="65" spans="1:5" x14ac:dyDescent="0.25">
      <c r="A65" s="12">
        <v>1</v>
      </c>
      <c r="B65">
        <f>J22</f>
        <v>100</v>
      </c>
      <c r="C65">
        <f>E22</f>
        <v>295</v>
      </c>
      <c r="D65">
        <f>H22</f>
        <v>647.9</v>
      </c>
      <c r="E65">
        <f>I22</f>
        <v>100</v>
      </c>
    </row>
    <row r="66" spans="1:5" x14ac:dyDescent="0.25">
      <c r="A66" s="12">
        <v>4</v>
      </c>
      <c r="B66">
        <f>B37</f>
        <v>100</v>
      </c>
      <c r="C66">
        <f>C37</f>
        <v>764.65379282425738</v>
      </c>
      <c r="D66">
        <f>D37</f>
        <v>54.632510399269805</v>
      </c>
      <c r="E66">
        <f>E37</f>
        <v>259.20467553364659</v>
      </c>
    </row>
    <row r="71" spans="1:5" x14ac:dyDescent="0.25">
      <c r="A71" t="s">
        <v>57</v>
      </c>
    </row>
    <row r="72" spans="1:5" x14ac:dyDescent="0.25">
      <c r="A72" s="14"/>
      <c r="B72" s="14" t="s">
        <v>43</v>
      </c>
      <c r="C72" s="14" t="s">
        <v>28</v>
      </c>
      <c r="D72" s="14" t="s">
        <v>51</v>
      </c>
      <c r="E72" s="14" t="s">
        <v>42</v>
      </c>
    </row>
    <row r="73" spans="1:5" x14ac:dyDescent="0.25">
      <c r="A73" s="14">
        <v>4</v>
      </c>
      <c r="B73">
        <v>100</v>
      </c>
      <c r="C73">
        <v>764.65379282425738</v>
      </c>
      <c r="D73">
        <v>54.632510399269805</v>
      </c>
      <c r="E73">
        <v>259.20467553364659</v>
      </c>
    </row>
    <row r="74" spans="1:5" x14ac:dyDescent="0.25">
      <c r="B74">
        <v>95</v>
      </c>
      <c r="C74">
        <v>778.65</v>
      </c>
      <c r="D74">
        <v>51.900884879306311</v>
      </c>
      <c r="E74">
        <v>277.84121320249778</v>
      </c>
    </row>
    <row r="75" spans="1:5" x14ac:dyDescent="0.25">
      <c r="B75">
        <v>90</v>
      </c>
      <c r="C75">
        <v>793.92</v>
      </c>
      <c r="D75">
        <v>49.169259359342817</v>
      </c>
      <c r="E75">
        <v>299.02824858757072</v>
      </c>
    </row>
    <row r="76" spans="1:5" x14ac:dyDescent="0.25">
      <c r="B76">
        <v>85</v>
      </c>
      <c r="C76">
        <v>810.14</v>
      </c>
      <c r="D76">
        <v>46.437633839379323</v>
      </c>
      <c r="E76">
        <v>323.08673978065809</v>
      </c>
    </row>
    <row r="77" spans="1:5" x14ac:dyDescent="0.25">
      <c r="B77">
        <v>80</v>
      </c>
      <c r="C77">
        <v>827.59</v>
      </c>
      <c r="D77">
        <v>43.706008319415837</v>
      </c>
      <c r="E77">
        <v>350.67372881355936</v>
      </c>
    </row>
    <row r="78" spans="1:5" x14ac:dyDescent="0.25">
      <c r="B78">
        <v>75</v>
      </c>
      <c r="C78">
        <v>846.41</v>
      </c>
      <c r="D78">
        <v>40.97438279945235</v>
      </c>
      <c r="E78">
        <v>382.55819209039544</v>
      </c>
    </row>
    <row r="79" spans="1:5" x14ac:dyDescent="0.25">
      <c r="B79">
        <v>70</v>
      </c>
      <c r="C79">
        <v>866.99</v>
      </c>
      <c r="D79">
        <v>38.242757279488863</v>
      </c>
      <c r="E79">
        <v>419.84987893462471</v>
      </c>
    </row>
    <row r="80" spans="1:5" x14ac:dyDescent="0.25">
      <c r="B80">
        <v>65</v>
      </c>
      <c r="C80">
        <v>889.56</v>
      </c>
      <c r="D80">
        <v>35.511131759525377</v>
      </c>
      <c r="E80">
        <v>463.91655801825289</v>
      </c>
    </row>
    <row r="81" spans="1:5" x14ac:dyDescent="0.25">
      <c r="B81">
        <v>60</v>
      </c>
      <c r="C81">
        <v>914.38</v>
      </c>
      <c r="D81">
        <v>32.77950623956189</v>
      </c>
      <c r="E81">
        <v>516.59887005649716</v>
      </c>
    </row>
    <row r="82" spans="1:5" x14ac:dyDescent="0.25">
      <c r="B82">
        <v>55</v>
      </c>
      <c r="C82">
        <v>941.89</v>
      </c>
      <c r="D82">
        <v>30.047880719598396</v>
      </c>
      <c r="E82">
        <v>580.51771956856703</v>
      </c>
    </row>
    <row r="83" spans="1:5" x14ac:dyDescent="0.25">
      <c r="B83">
        <v>50</v>
      </c>
      <c r="C83">
        <v>972.98</v>
      </c>
      <c r="D83">
        <v>27.316255199634906</v>
      </c>
      <c r="E83">
        <v>659.6474576271188</v>
      </c>
    </row>
    <row r="84" spans="1:5" x14ac:dyDescent="0.25">
      <c r="A84" s="14">
        <v>3</v>
      </c>
      <c r="B84">
        <v>40</v>
      </c>
      <c r="C84">
        <v>1299.7203963077086</v>
      </c>
      <c r="D84">
        <v>11.282828903384159</v>
      </c>
      <c r="E84">
        <v>901.00795748102144</v>
      </c>
    </row>
    <row r="85" spans="1:5" x14ac:dyDescent="0.25">
      <c r="A85" s="14">
        <v>2</v>
      </c>
      <c r="B85">
        <v>20.652200000000001</v>
      </c>
      <c r="C85">
        <v>548.93065912813177</v>
      </c>
      <c r="D85">
        <v>43.193333333333335</v>
      </c>
      <c r="E85">
        <v>901.00795748102144</v>
      </c>
    </row>
    <row r="86" spans="1:5" x14ac:dyDescent="0.25">
      <c r="B86">
        <v>40</v>
      </c>
      <c r="C86">
        <v>654.87</v>
      </c>
      <c r="D86">
        <v>83.658560992694888</v>
      </c>
      <c r="E86">
        <v>554.97390777780959</v>
      </c>
    </row>
    <row r="87" spans="1:5" x14ac:dyDescent="0.25">
      <c r="B87">
        <v>45</v>
      </c>
      <c r="C87">
        <v>626.87</v>
      </c>
      <c r="D87">
        <v>94.11588111678175</v>
      </c>
      <c r="E87">
        <v>472.21788693420126</v>
      </c>
    </row>
    <row r="88" spans="1:5" x14ac:dyDescent="0.25">
      <c r="B88">
        <v>50</v>
      </c>
      <c r="C88">
        <v>602.66999999999996</v>
      </c>
      <c r="D88">
        <v>104.57320124086861</v>
      </c>
      <c r="E88">
        <v>408.58933834251366</v>
      </c>
    </row>
    <row r="89" spans="1:5" x14ac:dyDescent="0.25">
      <c r="B89">
        <v>55</v>
      </c>
      <c r="C89">
        <v>581.30999999999995</v>
      </c>
      <c r="D89">
        <v>115.03052136495549</v>
      </c>
      <c r="E89">
        <v>358.27999986708636</v>
      </c>
    </row>
    <row r="90" spans="1:5" x14ac:dyDescent="0.25">
      <c r="B90">
        <v>60</v>
      </c>
      <c r="C90">
        <v>562.61</v>
      </c>
      <c r="D90">
        <v>125.48784148904234</v>
      </c>
      <c r="E90">
        <v>317.8583741860964</v>
      </c>
    </row>
    <row r="91" spans="1:5" x14ac:dyDescent="0.25">
      <c r="B91">
        <v>65</v>
      </c>
      <c r="C91">
        <v>545.69000000000005</v>
      </c>
      <c r="D91">
        <v>135.94516161312919</v>
      </c>
      <c r="E91">
        <v>284.58375107709969</v>
      </c>
    </row>
    <row r="92" spans="1:5" x14ac:dyDescent="0.25">
      <c r="B92">
        <v>70</v>
      </c>
      <c r="C92">
        <v>530.42999999999995</v>
      </c>
      <c r="D92">
        <v>146.40248173721605</v>
      </c>
      <c r="E92">
        <v>256.86651867880738</v>
      </c>
    </row>
    <row r="93" spans="1:5" x14ac:dyDescent="0.25">
      <c r="A93" s="14">
        <v>1</v>
      </c>
      <c r="B93">
        <v>100</v>
      </c>
      <c r="C93">
        <v>295</v>
      </c>
      <c r="D93">
        <v>647.9</v>
      </c>
      <c r="E93">
        <v>100</v>
      </c>
    </row>
    <row r="94" spans="1:5" x14ac:dyDescent="0.25">
      <c r="A94" s="14">
        <v>4</v>
      </c>
      <c r="B94">
        <v>100</v>
      </c>
      <c r="C94">
        <v>764.65379282425738</v>
      </c>
      <c r="D94">
        <v>54.632510399269805</v>
      </c>
      <c r="E94">
        <v>259.20467553364659</v>
      </c>
    </row>
  </sheetData>
  <mergeCells count="4">
    <mergeCell ref="E2:F2"/>
    <mergeCell ref="L2:M2"/>
    <mergeCell ref="R2:S2"/>
    <mergeCell ref="X2:Y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ideal_gas_table2</vt:lpstr>
      <vt:lpstr>Air</vt:lpstr>
      <vt:lpstr>Sheet35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2020-04-13T09:05:29Z</dcterms:modified>
</cp:coreProperties>
</file>